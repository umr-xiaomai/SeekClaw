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0" lockWindows="0"/>
  <bookViews>
    <workbookView visibility="visible" minimized="0" showHorizontalScroll="1" showVerticalScroll="1" showSheetTabs="1" xWindow="-110" yWindow="-110" windowWidth="25820" windowHeight="15500" tabRatio="600" firstSheet="0" activeTab="4" autoFilterDateGrouping="1"/>
  </bookViews>
  <sheets>
    <sheet xmlns:r="http://schemas.openxmlformats.org/officeDocument/2006/relationships" name="填报须知" sheetId="1" state="visible" r:id="rId1"/>
    <sheet xmlns:r="http://schemas.openxmlformats.org/officeDocument/2006/relationships" name="基本情况表" sheetId="2" state="visible" r:id="rId2"/>
    <sheet xmlns:r="http://schemas.openxmlformats.org/officeDocument/2006/relationships" name="资产负债表" sheetId="3" state="visible" r:id="rId3"/>
    <sheet xmlns:r="http://schemas.openxmlformats.org/officeDocument/2006/relationships" name="利润表" sheetId="4" state="visible" r:id="rId4"/>
    <sheet xmlns:r="http://schemas.openxmlformats.org/officeDocument/2006/relationships" name="现金流量表" sheetId="5" state="visible" r:id="rId5"/>
  </sheets>
  <definedNames>
    <definedName name="data">现金流量表!$C$5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[$-F800]dddd\,\ mmmm\ dd\,\ yyyy"/>
    <numFmt numFmtId="166" formatCode="#,##0.00_ "/>
    <numFmt numFmtId="167" formatCode="0.00_ "/>
  </numFmts>
  <fonts count="26">
    <font>
      <name val="Arial"/>
      <family val="2"/>
      <sz val="10"/>
    </font>
    <font>
      <name val="宋体"/>
      <charset val="134"/>
      <family val="3"/>
      <sz val="9"/>
    </font>
    <font>
      <name val="Arial"/>
      <family val="2"/>
      <sz val="10"/>
    </font>
    <font>
      <name val="等线"/>
      <charset val="134"/>
      <family val="3"/>
      <sz val="10"/>
      <scheme val="minor"/>
    </font>
    <font>
      <name val="等线"/>
      <charset val="134"/>
      <family val="3"/>
      <color indexed="8"/>
      <sz val="10"/>
      <scheme val="minor"/>
    </font>
    <font>
      <name val="等线"/>
      <charset val="134"/>
      <family val="3"/>
      <b val="1"/>
      <color indexed="8"/>
      <sz val="10"/>
      <scheme val="minor"/>
    </font>
    <font>
      <name val="等线"/>
      <charset val="134"/>
      <family val="3"/>
      <b val="1"/>
      <color rgb="FF000000"/>
      <sz val="10"/>
      <scheme val="minor"/>
    </font>
    <font>
      <name val="等线"/>
      <charset val="134"/>
      <family val="3"/>
      <color indexed="8"/>
      <sz val="9"/>
      <scheme val="minor"/>
    </font>
    <font>
      <name val="等线"/>
      <charset val="134"/>
      <family val="3"/>
      <color rgb="FF000000"/>
      <sz val="9"/>
      <scheme val="minor"/>
    </font>
    <font>
      <name val="等线"/>
      <charset val="134"/>
      <family val="3"/>
      <b val="1"/>
      <color indexed="8"/>
      <sz val="9"/>
      <scheme val="minor"/>
    </font>
    <font>
      <name val="等线"/>
      <charset val="134"/>
      <family val="3"/>
      <b val="1"/>
      <color rgb="FF000000"/>
      <sz val="9"/>
      <scheme val="minor"/>
    </font>
    <font>
      <name val="等线"/>
      <charset val="134"/>
      <family val="3"/>
      <b val="1"/>
      <color indexed="8"/>
      <sz val="16"/>
      <scheme val="minor"/>
    </font>
    <font>
      <name val="等线"/>
      <charset val="134"/>
      <family val="3"/>
      <color rgb="FF000000"/>
      <sz val="10"/>
      <scheme val="minor"/>
    </font>
    <font>
      <name val="等线"/>
      <charset val="134"/>
      <family val="3"/>
      <color indexed="8"/>
      <sz val="9"/>
      <scheme val="minor"/>
    </font>
    <font>
      <name val="等线"/>
      <charset val="134"/>
      <family val="3"/>
      <sz val="10"/>
    </font>
    <font>
      <name val="等线"/>
      <charset val="134"/>
      <family val="3"/>
      <sz val="12"/>
    </font>
    <font>
      <name val="等线"/>
      <charset val="134"/>
      <family val="3"/>
      <sz val="14"/>
    </font>
    <font>
      <name val="等线"/>
      <charset val="134"/>
      <family val="3"/>
      <sz val="9"/>
    </font>
    <font>
      <name val="等线"/>
      <charset val="134"/>
      <family val="3"/>
      <b val="1"/>
      <sz val="16"/>
    </font>
    <font>
      <name val="方正黑体简体"/>
      <charset val="134"/>
      <family val="3"/>
      <color rgb="FF000000"/>
      <sz val="6"/>
    </font>
    <font>
      <name val="等线"/>
      <charset val="134"/>
      <family val="3"/>
      <color rgb="FF252525"/>
      <sz val="6"/>
      <scheme val="minor"/>
    </font>
    <font>
      <name val="等线"/>
      <charset val="134"/>
      <family val="3"/>
      <color rgb="FF000000"/>
      <sz val="6"/>
      <scheme val="minor"/>
    </font>
    <font>
      <name val="等线"/>
      <charset val="134"/>
      <family val="3"/>
      <b val="1"/>
      <sz val="14"/>
    </font>
    <font>
      <name val="Arial"/>
      <family val="2"/>
      <color rgb="FF000000"/>
      <sz val="10"/>
    </font>
    <font>
      <name val="等线"/>
      <charset val="134"/>
      <family val="3"/>
      <b val="1"/>
      <color rgb="FFFF0000"/>
      <sz val="11"/>
      <scheme val="minor"/>
    </font>
    <font>
      <name val="仿宋"/>
      <charset val="134"/>
      <family val="3"/>
      <sz val="12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2" fillId="0" borderId="0"/>
    <xf numFmtId="0" fontId="2" fillId="0" borderId="0"/>
    <xf numFmtId="0" fontId="23" fillId="0" borderId="0"/>
  </cellStyleXfs>
  <cellXfs count="81">
    <xf numFmtId="0" fontId="0" fillId="0" borderId="0" pivotButton="0" quotePrefix="0" xfId="0"/>
    <xf numFmtId="0" fontId="7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wrapText="1" indent="2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left" vertical="center" wrapText="1" indent="2"/>
    </xf>
    <xf numFmtId="0" fontId="13" fillId="2" borderId="1" applyAlignment="1" pivotButton="0" quotePrefix="0" xfId="0">
      <alignment horizontal="left" vertical="center" wrapText="1" indent="2"/>
    </xf>
    <xf numFmtId="0" fontId="13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left" vertical="center" wrapText="1" indent="3"/>
    </xf>
    <xf numFmtId="0" fontId="7" fillId="2" borderId="1" applyAlignment="1" pivotButton="0" quotePrefix="0" xfId="0">
      <alignment horizontal="left" vertical="center" wrapText="1" indent="3"/>
    </xf>
    <xf numFmtId="0" fontId="16" fillId="2" borderId="0" pivotButton="0" quotePrefix="0" xfId="0"/>
    <xf numFmtId="0" fontId="15" fillId="2" borderId="0" pivotButton="0" quotePrefix="0" xfId="0"/>
    <xf numFmtId="0" fontId="0" fillId="2" borderId="0" pivotButton="0" quotePrefix="0" xfId="0"/>
    <xf numFmtId="0" fontId="14" fillId="2" borderId="0" pivotButton="0" quotePrefix="0" xfId="0"/>
    <xf numFmtId="0" fontId="19" fillId="2" borderId="0" applyAlignment="1" pivotButton="0" quotePrefix="0" xfId="0">
      <alignment horizontal="justify" vertical="center" wrapText="1"/>
    </xf>
    <xf numFmtId="0" fontId="20" fillId="2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justify" vertical="center" wrapText="1"/>
    </xf>
    <xf numFmtId="57" fontId="17" fillId="2" borderId="3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center" vertical="center" wrapText="1"/>
    </xf>
    <xf numFmtId="0" fontId="17" fillId="3" borderId="3" applyAlignment="1" pivotButton="0" quotePrefix="0" xfId="0">
      <alignment horizontal="center" vertical="center"/>
    </xf>
    <xf numFmtId="165" fontId="17" fillId="3" borderId="3" applyAlignment="1" pivotButton="0" quotePrefix="0" xfId="0">
      <alignment horizontal="center" vertical="center"/>
    </xf>
    <xf numFmtId="0" fontId="15" fillId="2" borderId="0" applyAlignment="1" pivotButton="0" quotePrefix="0" xfId="0">
      <alignment vertical="justify" wrapText="1"/>
    </xf>
    <xf numFmtId="0" fontId="22" fillId="2" borderId="0" pivotButton="0" quotePrefix="0" xfId="0"/>
    <xf numFmtId="166" fontId="7" fillId="3" borderId="1" applyAlignment="1" pivotButton="0" quotePrefix="0" xfId="0">
      <alignment horizontal="right" vertical="center" wrapText="1"/>
    </xf>
    <xf numFmtId="166" fontId="7" fillId="2" borderId="1" applyAlignment="1" pivotButton="0" quotePrefix="0" xfId="0">
      <alignment horizontal="right" vertical="center" wrapText="1"/>
    </xf>
    <xf numFmtId="166" fontId="9" fillId="2" borderId="1" applyAlignment="1" pivotButton="0" quotePrefix="0" xfId="0">
      <alignment horizontal="right" vertical="center" wrapText="1"/>
    </xf>
    <xf numFmtId="166" fontId="7" fillId="2" borderId="2" applyAlignment="1" pivotButton="0" quotePrefix="0" xfId="0">
      <alignment horizontal="right" vertical="center" wrapText="1"/>
    </xf>
    <xf numFmtId="167" fontId="3" fillId="0" borderId="0" pivotButton="0" quotePrefix="0" xfId="0"/>
    <xf numFmtId="0" fontId="8" fillId="2" borderId="1" applyAlignment="1" pivotButton="0" quotePrefix="0" xfId="0">
      <alignment horizontal="left" vertical="center" wrapText="1" indent="5"/>
    </xf>
    <xf numFmtId="0" fontId="7" fillId="2" borderId="1" applyAlignment="1" pivotButton="0" quotePrefix="0" xfId="0">
      <alignment horizontal="left" vertical="center" wrapText="1" indent="6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left" vertical="center" indent="3"/>
    </xf>
    <xf numFmtId="0" fontId="7" fillId="2" borderId="1" applyAlignment="1" pivotButton="0" quotePrefix="0" xfId="0">
      <alignment horizontal="left" vertical="center" wrapText="1" indent="4"/>
    </xf>
    <xf numFmtId="0" fontId="7" fillId="2" borderId="1" applyAlignment="1" pivotButton="0" quotePrefix="0" xfId="0">
      <alignment horizontal="left" vertical="center" indent="7"/>
    </xf>
    <xf numFmtId="57" fontId="6" fillId="2" borderId="1" applyAlignment="1" pivotButton="0" quotePrefix="0" xfId="0">
      <alignment horizontal="center" vertical="center" wrapText="1"/>
    </xf>
    <xf numFmtId="49" fontId="14" fillId="0" borderId="3" applyAlignment="1" pivotButton="0" quotePrefix="0" xfId="0">
      <alignment horizontal="center" vertical="center"/>
    </xf>
    <xf numFmtId="0" fontId="14" fillId="2" borderId="0" applyAlignment="1" pivotButton="0" quotePrefix="0" xfId="0">
      <alignment vertical="top"/>
    </xf>
    <xf numFmtId="166" fontId="7" fillId="0" borderId="1" applyAlignment="1" pivotButton="0" quotePrefix="0" xfId="0">
      <alignment horizontal="right" vertical="center" wrapText="1"/>
    </xf>
    <xf numFmtId="0" fontId="17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18" fillId="2" borderId="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7" fillId="2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5" fillId="2" borderId="0" applyAlignment="1" pivotButton="0" quotePrefix="0" xfId="0">
      <alignment horizontal="left" vertical="justify" wrapText="1"/>
    </xf>
    <xf numFmtId="0" fontId="15" fillId="2" borderId="0" pivotButton="0" quotePrefix="0" xfId="0"/>
    <xf numFmtId="0" fontId="14" fillId="2" borderId="0" pivotButton="0" quotePrefix="0" xfId="0"/>
    <xf numFmtId="0" fontId="2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1" fillId="2" borderId="0" applyAlignment="1" pivotButton="0" quotePrefix="0" xfId="0">
      <alignment horizontal="center" vertical="top" wrapText="1"/>
    </xf>
    <xf numFmtId="167" fontId="3" fillId="0" borderId="0" pivotButton="0" quotePrefix="0" xfId="0"/>
    <xf numFmtId="165" fontId="17" fillId="3" borderId="3" applyAlignment="1" pivotButton="0" quotePrefix="0" xfId="0">
      <alignment horizontal="center" vertical="center"/>
    </xf>
    <xf numFmtId="166" fontId="7" fillId="3" borderId="1" applyAlignment="1" pivotButton="0" quotePrefix="0" xfId="0">
      <alignment horizontal="right" vertical="center" wrapText="1"/>
    </xf>
    <xf numFmtId="166" fontId="7" fillId="2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166" fontId="7" fillId="2" borderId="2" applyAlignment="1" pivotButton="0" quotePrefix="0" xfId="0">
      <alignment horizontal="right" vertical="center" wrapText="1"/>
    </xf>
    <xf numFmtId="166" fontId="9" fillId="2" borderId="1" applyAlignment="1" pivotButton="0" quotePrefix="0" xfId="0">
      <alignment horizontal="right" vertical="center" wrapText="1"/>
    </xf>
    <xf numFmtId="167" fontId="3" fillId="0" borderId="0" pivotButton="0" quotePrefix="0" xfId="0"/>
    <xf numFmtId="166" fontId="7" fillId="0" borderId="1" applyAlignment="1" pivotButton="0" quotePrefix="0" xfId="0">
      <alignment horizontal="right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B2:N19"/>
  <sheetViews>
    <sheetView topLeftCell="A2" workbookViewId="0">
      <selection activeCell="B5" sqref="B5:K19"/>
    </sheetView>
  </sheetViews>
  <sheetFormatPr baseColWidth="8" defaultColWidth="0" defaultRowHeight="13" zeroHeight="1" outlineLevelCol="0"/>
  <cols>
    <col width="4.81640625" customWidth="1" style="66" min="1" max="1"/>
    <col width="9.1796875" customWidth="1" style="66" min="2" max="12"/>
    <col hidden="1" width="13" customWidth="1" style="66" min="13" max="14"/>
    <col hidden="1" width="9.1796875" customWidth="1" style="66" min="15" max="16"/>
    <col hidden="1" width="9.1796875" customWidth="1" style="66" min="17" max="16384"/>
  </cols>
  <sheetData>
    <row r="2" ht="24.75" customHeight="1">
      <c r="B2" s="54" t="inlineStr">
        <is>
          <t xml:space="preserve">文件版本: </t>
        </is>
      </c>
      <c r="C2" s="54" t="inlineStr">
        <is>
          <t>CC-2026.01</t>
        </is>
      </c>
    </row>
    <row r="3" ht="24.75" customHeight="1">
      <c r="B3" s="40" t="inlineStr">
        <is>
          <t>填报须知</t>
        </is>
      </c>
    </row>
    <row r="4" ht="24.75" customHeight="1">
      <c r="B4" s="23" t="n"/>
    </row>
    <row r="5" ht="24.75" customFormat="1" customHeight="1" s="65">
      <c r="B5" s="64" t="inlineStr">
        <is>
          <t xml:space="preserve">1. 为方便数据统一读取审核，请所有项目在此模板上按照格式填报财务报表数据，请勿使用其他文件提交，请勿修改灰色部分内容或删改表单结构，否则可能导致项目审核失败。
2. 填报时，请先填报基本情况表，再依次填写资产负债表、利润表、现金流量表，填报的信息从2023年起至2026年6月止，若公司注册时间晚于2023年，则从注册年度开始填起，注册前的年度数据保持初始值“0”。若填报本表时间早于2026年6月底，2026年6月资产负债表、2026年1-6月利润表及2026年1-6月现金流量表中填报最新数据即可。请务必保证从注册年度起（注册早于2023年的从2023年起）填报数据的真实完整。
3. 此模板系根据财会〔2019〕6号文件规定的财务报表格式编制，若企业经营中沿用了过往准则中的科目，请按照模板给定的最新准则科目自行对应或整合填报。若对应行次无申报数据，请保持初始值“0”。如利润表中第22行次“净利润”之后的行次，若无数据可以不进行填报。
4. 请注意，此模板填报数据的单位为：人民币元，精确到分，保留小数点后两位，请务必按此单位进行填报。请仔细检查格式，勿出现文本字符、特殊字符等以免导致文件读取错误。
5. 项目须对填报数据的真实性负责。项目所填报的数据，特别是营业收入、利润等，须与ppt和文字版策划书中呈现的数据一致。
6. 填报完成后，请将整个文件的名称改为项目名称，保存后上传提交。
</t>
        </is>
      </c>
      <c r="L5" s="39" t="n"/>
      <c r="M5" s="39" t="n"/>
      <c r="N5" s="39" t="n"/>
    </row>
    <row r="6" ht="24.75" customHeight="1">
      <c r="L6" s="39" t="n"/>
      <c r="M6" s="39" t="n"/>
      <c r="N6" s="39" t="n"/>
    </row>
    <row r="7" ht="24.75" customHeight="1">
      <c r="L7" s="39" t="n"/>
      <c r="M7" s="39" t="n"/>
      <c r="N7" s="39" t="n"/>
    </row>
    <row r="8" ht="24.75" customHeight="1">
      <c r="L8" s="39" t="n"/>
      <c r="M8" s="39" t="n"/>
      <c r="N8" s="39" t="n"/>
    </row>
    <row r="9" ht="24.75" customHeight="1">
      <c r="L9" s="39" t="n"/>
      <c r="M9" s="39" t="n"/>
      <c r="N9" s="39" t="n"/>
    </row>
    <row r="10" ht="24.75" customHeight="1">
      <c r="L10" s="39" t="n"/>
      <c r="M10" s="39" t="n"/>
      <c r="N10" s="39" t="n"/>
    </row>
    <row r="11" ht="24.75" customHeight="1">
      <c r="L11" s="39" t="n"/>
      <c r="M11" s="39" t="n"/>
      <c r="N11" s="39" t="n"/>
    </row>
    <row r="12" ht="24.75" customHeight="1">
      <c r="L12" s="39" t="n"/>
      <c r="M12" s="39" t="n"/>
      <c r="N12" s="39" t="n"/>
    </row>
    <row r="13" ht="24.75" customHeight="1">
      <c r="L13" s="39" t="n"/>
      <c r="M13" s="39" t="n"/>
      <c r="N13" s="39" t="n"/>
    </row>
    <row r="14" ht="24.75" customHeight="1">
      <c r="L14" s="39" t="n"/>
      <c r="M14" s="39" t="n"/>
      <c r="N14" s="39" t="n"/>
    </row>
    <row r="15" ht="24.75" customHeight="1">
      <c r="L15" s="39" t="n"/>
      <c r="M15" s="39" t="n"/>
      <c r="N15" s="39" t="n"/>
    </row>
    <row r="16" ht="24.75" customHeight="1">
      <c r="L16" s="39" t="n"/>
      <c r="M16" s="39" t="n"/>
      <c r="N16" s="39" t="n"/>
    </row>
    <row r="17" ht="24.75" customHeight="1">
      <c r="L17" s="39" t="n"/>
      <c r="M17" s="39" t="n"/>
      <c r="N17" s="39" t="n"/>
    </row>
    <row r="18" ht="24.75" customHeight="1">
      <c r="L18" s="39" t="n"/>
      <c r="M18" s="39" t="n"/>
      <c r="N18" s="39" t="n"/>
    </row>
    <row r="19" ht="24.75" customHeight="1">
      <c r="L19" s="39" t="n"/>
      <c r="M19" s="39" t="n"/>
      <c r="N19" s="39" t="n"/>
    </row>
  </sheetData>
  <mergeCells count="1">
    <mergeCell ref="B5:K19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30"/>
  <sheetViews>
    <sheetView zoomScale="160" zoomScaleNormal="160" workbookViewId="0">
      <selection activeCell="C8" sqref="C8"/>
    </sheetView>
  </sheetViews>
  <sheetFormatPr baseColWidth="8" defaultColWidth="0" defaultRowHeight="12.5" zeroHeight="1" outlineLevelCol="0"/>
  <cols>
    <col width="24.26953125" customWidth="1" style="25" min="1" max="1"/>
    <col width="9.7265625" customWidth="1" style="25" min="2" max="2"/>
    <col width="32.81640625" customWidth="1" style="25" min="3" max="3"/>
    <col hidden="1" width="13" customWidth="1" style="25" min="4" max="5"/>
    <col hidden="1" width="9.1796875" customWidth="1" style="25" min="6" max="8"/>
    <col hidden="1" width="9.1796875" customWidth="1" style="25" min="9" max="16384"/>
  </cols>
  <sheetData>
    <row r="1" ht="19.5" customHeight="1">
      <c r="A1" s="58" t="inlineStr">
        <is>
          <t>基本情况表</t>
        </is>
      </c>
      <c r="B1" s="59" t="n"/>
      <c r="C1" s="60" t="n"/>
    </row>
    <row r="2" ht="19.5" customHeight="1">
      <c r="A2" s="56" t="inlineStr">
        <is>
          <t>统一社会信用代码</t>
        </is>
      </c>
      <c r="B2" s="57" t="n"/>
      <c r="C2" s="53" t="inlineStr">
        <is>
          <t>91610104MAK3KJPM6F</t>
        </is>
      </c>
      <c r="D2" s="66" t="n"/>
      <c r="E2" s="66" t="n"/>
    </row>
    <row r="3" ht="19.5" customHeight="1">
      <c r="A3" s="56" t="inlineStr">
        <is>
          <t>成立日期</t>
        </is>
      </c>
      <c r="B3" s="57" t="n"/>
      <c r="C3" s="73" t="n">
        <v>46006</v>
      </c>
      <c r="D3" s="66" t="n"/>
      <c r="E3" s="66" t="n"/>
    </row>
    <row r="4" ht="19.5" customHeight="1">
      <c r="A4" s="56" t="inlineStr">
        <is>
          <t>企业类型</t>
        </is>
      </c>
      <c r="B4" s="57" t="n"/>
      <c r="C4" s="37" t="inlineStr">
        <is>
          <t>173. 私营企业-私营有限责任公司</t>
        </is>
      </c>
      <c r="D4" s="66" t="n"/>
      <c r="E4" s="66" t="n"/>
    </row>
    <row r="5" ht="19.5" customHeight="1">
      <c r="A5" s="56" t="inlineStr">
        <is>
          <t>行业分类</t>
        </is>
      </c>
      <c r="B5" s="57" t="n"/>
      <c r="C5" s="37" t="inlineStr">
        <is>
          <t>I. 信息传输、软件和信息技术服务业</t>
        </is>
      </c>
      <c r="D5" s="66" t="n"/>
      <c r="E5" s="66" t="n"/>
    </row>
    <row r="6" ht="19.5" customHeight="1">
      <c r="A6" s="61" t="inlineStr">
        <is>
          <t>员工数量
（当年平均，精确到整数）</t>
        </is>
      </c>
      <c r="B6" s="56" t="inlineStr">
        <is>
          <t>2023年</t>
        </is>
      </c>
      <c r="C6" s="37" t="n">
        <v>0</v>
      </c>
      <c r="D6" s="66" t="n"/>
      <c r="E6" s="66" t="n"/>
    </row>
    <row r="7" ht="19.5" customHeight="1">
      <c r="A7" s="62" t="n"/>
      <c r="B7" s="56" t="inlineStr">
        <is>
          <t>2024年</t>
        </is>
      </c>
      <c r="C7" s="37" t="n">
        <v>0</v>
      </c>
    </row>
    <row r="8" ht="19.5" customHeight="1">
      <c r="A8" s="62" t="n"/>
      <c r="B8" s="56" t="inlineStr">
        <is>
          <t>2025年</t>
        </is>
      </c>
      <c r="C8" s="37" t="n">
        <v>2</v>
      </c>
    </row>
    <row r="9" ht="19.5" customHeight="1">
      <c r="A9" s="63" t="n"/>
      <c r="B9" s="31" t="inlineStr">
        <is>
          <t>2026上半年</t>
        </is>
      </c>
      <c r="C9" s="37" t="n">
        <v>26</v>
      </c>
    </row>
    <row r="12" hidden="1" ht="16.5" customHeight="1">
      <c r="A12" s="29" t="inlineStr">
        <is>
          <t>A. 农、林、牧、渔业</t>
        </is>
      </c>
      <c r="B12" s="28" t="inlineStr">
        <is>
          <t>110. 内资企业-国有企业</t>
        </is>
      </c>
    </row>
    <row r="13" hidden="1" ht="16.5" customHeight="1">
      <c r="A13" s="30" t="inlineStr">
        <is>
          <t>B. 采矿业</t>
        </is>
      </c>
      <c r="B13" s="28" t="inlineStr">
        <is>
          <t>120. 内资企业-集体企业</t>
        </is>
      </c>
    </row>
    <row r="14" hidden="1" ht="16.5" customHeight="1">
      <c r="A14" s="29" t="inlineStr">
        <is>
          <t>C. 制造业</t>
        </is>
      </c>
      <c r="B14" s="28" t="inlineStr">
        <is>
          <t>130. 内资企业-股份合作企业</t>
        </is>
      </c>
    </row>
    <row r="15" hidden="1" ht="16.5" customHeight="1">
      <c r="A15" s="29" t="inlineStr">
        <is>
          <t>D. 电力、热力、燃气及水生产和供应业</t>
        </is>
      </c>
      <c r="B15" s="28" t="inlineStr">
        <is>
          <t>140. 内资企业-联营企业</t>
        </is>
      </c>
    </row>
    <row r="16" hidden="1" ht="24.75" customHeight="1">
      <c r="A16" s="29" t="inlineStr">
        <is>
          <t>E. 建筑业</t>
        </is>
      </c>
      <c r="B16" s="28" t="inlineStr">
        <is>
          <t>150. 有限责任公司（国有独资及其他）</t>
        </is>
      </c>
    </row>
    <row r="17" hidden="1">
      <c r="A17" s="30" t="inlineStr">
        <is>
          <t>F. 批发和零售业</t>
        </is>
      </c>
      <c r="B17" s="28" t="inlineStr">
        <is>
          <t>160. 股份有限公司</t>
        </is>
      </c>
    </row>
    <row r="18" hidden="1" ht="16.5" customHeight="1">
      <c r="A18" s="30" t="inlineStr">
        <is>
          <t>G. 交通运输、仓储和邮政业</t>
        </is>
      </c>
      <c r="B18" s="28" t="inlineStr">
        <is>
          <t>170. 私营企业</t>
        </is>
      </c>
    </row>
    <row r="19" hidden="1" ht="16.5" customHeight="1">
      <c r="A19" s="30" t="inlineStr">
        <is>
          <t>H. 住宿和餐饮业</t>
        </is>
      </c>
      <c r="B19" s="28" t="inlineStr">
        <is>
          <t>171. 私营企业-私营独资企业</t>
        </is>
      </c>
    </row>
    <row r="20" hidden="1" ht="16.5" customHeight="1">
      <c r="A20" s="30" t="inlineStr">
        <is>
          <t>I. 信息传输、软件和信息技术服务业</t>
        </is>
      </c>
      <c r="B20" s="28" t="inlineStr">
        <is>
          <t>172. 私营企业-私营合伙企业</t>
        </is>
      </c>
    </row>
    <row r="21" hidden="1" ht="16.5" customHeight="1">
      <c r="A21" s="30" t="inlineStr">
        <is>
          <t>J. 金融业</t>
        </is>
      </c>
      <c r="B21" s="28" t="inlineStr">
        <is>
          <t>173. 私营企业-私营有限责任公司</t>
        </is>
      </c>
    </row>
    <row r="22" hidden="1" ht="16.5" customHeight="1">
      <c r="A22" s="30" t="inlineStr">
        <is>
          <t>K. 房地产业</t>
        </is>
      </c>
      <c r="B22" s="28" t="inlineStr">
        <is>
          <t>174. 私营企业-私营股份有限公司</t>
        </is>
      </c>
    </row>
    <row r="23" hidden="1">
      <c r="A23" s="30" t="inlineStr">
        <is>
          <t>L. 租赁和商务服务业</t>
        </is>
      </c>
      <c r="B23" s="28" t="inlineStr">
        <is>
          <t>190. 其他企业</t>
        </is>
      </c>
    </row>
    <row r="24" hidden="1" ht="16.5" customHeight="1">
      <c r="A24" s="30" t="inlineStr">
        <is>
          <t>M. 科学研究和技术服务业</t>
        </is>
      </c>
      <c r="B24" s="29" t="inlineStr">
        <is>
          <t>200. 港、澳、台商投资企业</t>
        </is>
      </c>
    </row>
    <row r="25" hidden="1" ht="16.5" customHeight="1">
      <c r="A25" s="30" t="inlineStr">
        <is>
          <t>N. 水利、环境和公共设施管理业</t>
        </is>
      </c>
      <c r="B25" s="29" t="inlineStr">
        <is>
          <t>300. 外商投资企业</t>
        </is>
      </c>
    </row>
    <row r="26" hidden="1" ht="16.5" customHeight="1">
      <c r="A26" s="30" t="inlineStr">
        <is>
          <t>O. 居民服务、修理和其他服务业</t>
        </is>
      </c>
      <c r="B26" s="27" t="n"/>
    </row>
    <row r="27" hidden="1">
      <c r="A27" s="30" t="inlineStr">
        <is>
          <t>P. 教育</t>
        </is>
      </c>
      <c r="B27" s="27" t="n"/>
    </row>
    <row r="28" hidden="1">
      <c r="A28" s="30" t="inlineStr">
        <is>
          <t>Q. 卫生和社会工作</t>
        </is>
      </c>
      <c r="B28" s="27" t="n"/>
    </row>
    <row r="29" hidden="1">
      <c r="A29" s="30" t="inlineStr">
        <is>
          <t>R. 文化、体育和娱乐业</t>
        </is>
      </c>
      <c r="B29" s="27" t="n"/>
    </row>
    <row r="30" hidden="1">
      <c r="A30" s="30" t="inlineStr">
        <is>
          <t>S. 综合</t>
        </is>
      </c>
      <c r="B30" s="27" t="n"/>
    </row>
  </sheetData>
  <mergeCells count="6">
    <mergeCell ref="A4:B4"/>
    <mergeCell ref="A2:B2"/>
    <mergeCell ref="A1:C1"/>
    <mergeCell ref="A6:A9"/>
    <mergeCell ref="A5:B5"/>
    <mergeCell ref="A3:B3"/>
  </mergeCells>
  <dataValidations count="5">
    <dataValidation sqref="C5" showDropDown="0" showInputMessage="1" showErrorMessage="1" allowBlank="0" type="list">
      <formula1>$A$12:$A$30</formula1>
    </dataValidation>
    <dataValidation sqref="C4" showDropDown="0" showInputMessage="1" showErrorMessage="1" allowBlank="0" type="list">
      <formula1>$B$12:$B$25</formula1>
    </dataValidation>
    <dataValidation sqref="C3" showDropDown="0" showInputMessage="1" showErrorMessage="1" allowBlank="1" errorTitle="格式错误" error="请输入正确的日期格式，YYYY-MM-dd，如2022-02-22" type="date" operator="greaterThan">
      <formula1>18172</formula1>
    </dataValidation>
    <dataValidation sqref="C6:C9" showDropDown="0" showInputMessage="1" showErrorMessage="1" allowBlank="1" errorTitle="人数输入错误" error="请输入当期员工数量平均值，精确到整数，如当期尚未注册营业，请保持初始值“0”" type="whole" operator="greaterThanOrEqual">
      <formula1>0</formula1>
    </dataValidation>
    <dataValidation sqref="C2" showDropDown="0" showInputMessage="1" showErrorMessage="1" allowBlank="0" errorTitle="格式错误" error="请输入正确的18位统一社会信用代码" type="textLength" operator="equal">
      <formula1>18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44"/>
  <sheetViews>
    <sheetView topLeftCell="A16" zoomScale="85" zoomScaleNormal="85" workbookViewId="0">
      <selection activeCell="F23" sqref="F23"/>
    </sheetView>
  </sheetViews>
  <sheetFormatPr baseColWidth="8" defaultColWidth="0" defaultRowHeight="13" zeroHeight="1" outlineLevelCol="0"/>
  <cols>
    <col width="30" customWidth="1" style="70" min="1" max="1"/>
    <col width="4.7265625" customWidth="1" style="70" min="2" max="2"/>
    <col width="17.1796875" customWidth="1" style="70" min="3" max="7"/>
    <col width="30" customWidth="1" style="70" min="8" max="8"/>
    <col width="4.7265625" customWidth="1" style="70" min="9" max="9"/>
    <col width="17.1796875" customWidth="1" style="70" min="10" max="14"/>
    <col hidden="1" width="13" customWidth="1" style="70" min="15" max="16384"/>
  </cols>
  <sheetData>
    <row r="1" ht="20.15" customHeight="1">
      <c r="A1" s="71" t="inlineStr">
        <is>
          <t>资产负债表</t>
        </is>
      </c>
    </row>
    <row r="2" ht="20.15" customHeight="1">
      <c r="A2" s="69" t="n"/>
      <c r="D2" s="67">
        <f t="array" ref="D2">IF(SUM(--NOT(ISNUMBER(C5:G17))) + SUM(--NOT(ISNUMBER(J5:N17)))+ SUM(--NOT(ISNUMBER(C20:G37)))+ SUM(--NOT(ISNUMBER(J20:N29)))+ SUM(--NOT(ISNUMBER(J33:N42)))&gt; 0, "错误提示：请检查数据格式，保持所有可编辑区域为数字，无数值应保持初始值0.00", "")</f>
        <v/>
      </c>
      <c r="E2" s="68" t="n"/>
      <c r="F2" s="68" t="n"/>
      <c r="G2" s="68" t="n"/>
      <c r="H2" s="68" t="n"/>
      <c r="I2" s="68" t="n"/>
      <c r="J2" s="68" t="n"/>
      <c r="K2" s="68" t="n"/>
      <c r="L2" s="68" t="n"/>
      <c r="M2" s="11" t="n"/>
      <c r="N2" s="34" t="inlineStr">
        <is>
          <t>单位：元</t>
        </is>
      </c>
    </row>
    <row r="3" ht="20.15" customHeight="1">
      <c r="A3" s="12" t="inlineStr">
        <is>
          <t>资产</t>
        </is>
      </c>
      <c r="B3" s="12" t="inlineStr">
        <is>
          <t>行次</t>
        </is>
      </c>
      <c r="C3" s="13" t="inlineStr">
        <is>
          <t>2026年6月末余额</t>
        </is>
      </c>
      <c r="D3" s="13" t="inlineStr">
        <is>
          <t>2025年末余额</t>
        </is>
      </c>
      <c r="E3" s="13" t="inlineStr">
        <is>
          <t>2024年末余额</t>
        </is>
      </c>
      <c r="F3" s="13" t="inlineStr">
        <is>
          <t>2023年末余额</t>
        </is>
      </c>
      <c r="G3" s="13" t="inlineStr">
        <is>
          <t>2023年初余额</t>
        </is>
      </c>
      <c r="H3" s="12" t="inlineStr">
        <is>
          <t>负债和所有者权益</t>
        </is>
      </c>
      <c r="I3" s="12" t="inlineStr">
        <is>
          <t>行次</t>
        </is>
      </c>
      <c r="J3" s="13" t="inlineStr">
        <is>
          <t>2026年6月末余额</t>
        </is>
      </c>
      <c r="K3" s="13" t="inlineStr">
        <is>
          <t>2025年末余额</t>
        </is>
      </c>
      <c r="L3" s="13" t="inlineStr">
        <is>
          <t>2024年末余额</t>
        </is>
      </c>
      <c r="M3" s="13" t="inlineStr">
        <is>
          <t>2023年末余额</t>
        </is>
      </c>
      <c r="N3" s="13" t="inlineStr">
        <is>
          <t>2023年初余额</t>
        </is>
      </c>
    </row>
    <row r="4" ht="20.15" customHeight="1">
      <c r="A4" s="10" t="inlineStr">
        <is>
          <t>流动资产：</t>
        </is>
      </c>
      <c r="B4" s="15" t="n">
        <v>1</v>
      </c>
      <c r="C4" s="1" t="n"/>
      <c r="D4" s="1" t="n"/>
      <c r="E4" s="13" t="n"/>
      <c r="F4" s="1" t="n"/>
      <c r="G4" s="1" t="n"/>
      <c r="H4" s="2" t="inlineStr">
        <is>
          <t>流动负债：</t>
        </is>
      </c>
      <c r="I4" s="15" t="n">
        <v>37</v>
      </c>
      <c r="J4" s="1" t="n"/>
      <c r="K4" s="1" t="n"/>
      <c r="L4" s="1" t="n"/>
      <c r="M4" s="1" t="n"/>
      <c r="N4" s="1" t="n"/>
    </row>
    <row r="5" ht="20.15" customHeight="1">
      <c r="A5" s="17" t="inlineStr">
        <is>
          <t>货币资金</t>
        </is>
      </c>
      <c r="B5" s="15" t="n">
        <v>2</v>
      </c>
      <c r="C5" s="74" t="n">
        <v>100</v>
      </c>
      <c r="D5" s="74" t="n">
        <v>0</v>
      </c>
      <c r="E5" s="74" t="n">
        <v>0</v>
      </c>
      <c r="F5" s="74" t="n">
        <v>0</v>
      </c>
      <c r="G5" s="74" t="n">
        <v>0</v>
      </c>
      <c r="H5" s="3" t="inlineStr">
        <is>
          <t>短期借款</t>
        </is>
      </c>
      <c r="I5" s="15" t="n">
        <v>38</v>
      </c>
      <c r="J5" s="74" t="n">
        <v>0</v>
      </c>
      <c r="K5" s="74" t="n">
        <v>0</v>
      </c>
      <c r="L5" s="74" t="n">
        <v>0</v>
      </c>
      <c r="M5" s="74" t="n">
        <v>0</v>
      </c>
      <c r="N5" s="74" t="n">
        <v>0</v>
      </c>
    </row>
    <row r="6" ht="20.15" customHeight="1">
      <c r="A6" s="48" t="inlineStr">
        <is>
          <t>交易性金融资产</t>
        </is>
      </c>
      <c r="B6" s="15" t="n">
        <v>3</v>
      </c>
      <c r="C6" s="74" t="n">
        <v>0</v>
      </c>
      <c r="D6" s="74" t="n">
        <v>0</v>
      </c>
      <c r="E6" s="74" t="n">
        <v>0</v>
      </c>
      <c r="F6" s="74" t="n">
        <v>0</v>
      </c>
      <c r="G6" s="74" t="n">
        <v>0</v>
      </c>
      <c r="H6" s="4" t="inlineStr">
        <is>
          <t>交易性金融负债</t>
        </is>
      </c>
      <c r="I6" s="15" t="n">
        <v>39</v>
      </c>
      <c r="J6" s="74" t="n">
        <v>0</v>
      </c>
      <c r="K6" s="74" t="n">
        <v>0</v>
      </c>
      <c r="L6" s="74" t="n">
        <v>0</v>
      </c>
      <c r="M6" s="74" t="n">
        <v>0</v>
      </c>
      <c r="N6" s="74" t="n">
        <v>0</v>
      </c>
    </row>
    <row r="7" ht="20.15" customHeight="1">
      <c r="A7" s="17" t="inlineStr">
        <is>
          <t>衍生金融资产</t>
        </is>
      </c>
      <c r="B7" s="15" t="n">
        <v>4</v>
      </c>
      <c r="C7" s="74" t="n">
        <v>0</v>
      </c>
      <c r="D7" s="74" t="n">
        <v>0</v>
      </c>
      <c r="E7" s="74" t="n">
        <v>0</v>
      </c>
      <c r="F7" s="74" t="n">
        <v>0</v>
      </c>
      <c r="G7" s="74" t="n">
        <v>0</v>
      </c>
      <c r="H7" s="3" t="inlineStr">
        <is>
          <t>衍生金融负债</t>
        </is>
      </c>
      <c r="I7" s="15" t="n">
        <v>40</v>
      </c>
      <c r="J7" s="74" t="n">
        <v>0</v>
      </c>
      <c r="K7" s="74" t="n">
        <v>0</v>
      </c>
      <c r="L7" s="74" t="n">
        <v>0</v>
      </c>
      <c r="M7" s="74" t="n">
        <v>0</v>
      </c>
      <c r="N7" s="74" t="n">
        <v>0</v>
      </c>
    </row>
    <row r="8" ht="20.15" customHeight="1">
      <c r="A8" s="17" t="inlineStr">
        <is>
          <t>应收票据</t>
        </is>
      </c>
      <c r="B8" s="15" t="n">
        <v>5</v>
      </c>
      <c r="C8" s="74" t="n">
        <v>0</v>
      </c>
      <c r="D8" s="74" t="n">
        <v>0</v>
      </c>
      <c r="E8" s="74" t="n">
        <v>0</v>
      </c>
      <c r="F8" s="74" t="n">
        <v>0</v>
      </c>
      <c r="G8" s="74" t="n">
        <v>0</v>
      </c>
      <c r="H8" s="3" t="inlineStr">
        <is>
          <t>应付票据</t>
        </is>
      </c>
      <c r="I8" s="15" t="n">
        <v>41</v>
      </c>
      <c r="J8" s="74" t="n">
        <v>0</v>
      </c>
      <c r="K8" s="74" t="n">
        <v>0</v>
      </c>
      <c r="L8" s="74" t="n">
        <v>0</v>
      </c>
      <c r="M8" s="74" t="n">
        <v>0</v>
      </c>
      <c r="N8" s="74" t="n">
        <v>0</v>
      </c>
    </row>
    <row r="9" ht="20.15" customHeight="1">
      <c r="A9" s="17" t="inlineStr">
        <is>
          <t>应收账款</t>
        </is>
      </c>
      <c r="B9" s="15" t="n">
        <v>6</v>
      </c>
      <c r="C9" s="74" t="n">
        <v>0</v>
      </c>
      <c r="D9" s="74" t="n">
        <v>0</v>
      </c>
      <c r="E9" s="74" t="n">
        <v>0</v>
      </c>
      <c r="F9" s="74" t="n">
        <v>0</v>
      </c>
      <c r="G9" s="74" t="n">
        <v>0</v>
      </c>
      <c r="H9" s="3" t="inlineStr">
        <is>
          <t>应付账款</t>
        </is>
      </c>
      <c r="I9" s="15" t="n">
        <v>42</v>
      </c>
      <c r="J9" s="74" t="n">
        <v>0</v>
      </c>
      <c r="K9" s="74" t="n">
        <v>0</v>
      </c>
      <c r="L9" s="74" t="n">
        <v>0</v>
      </c>
      <c r="M9" s="74" t="n">
        <v>0</v>
      </c>
      <c r="N9" s="74" t="n">
        <v>0</v>
      </c>
    </row>
    <row r="10" ht="20.15" customHeight="1">
      <c r="A10" s="17" t="inlineStr">
        <is>
          <t>应收款项融资</t>
        </is>
      </c>
      <c r="B10" s="15" t="n">
        <v>7</v>
      </c>
      <c r="C10" s="74" t="n">
        <v>0</v>
      </c>
      <c r="D10" s="74" t="n">
        <v>0</v>
      </c>
      <c r="E10" s="74" t="n">
        <v>0</v>
      </c>
      <c r="F10" s="74" t="n">
        <v>0</v>
      </c>
      <c r="G10" s="74" t="n">
        <v>0</v>
      </c>
      <c r="H10" s="3" t="inlineStr">
        <is>
          <t>预收款项</t>
        </is>
      </c>
      <c r="I10" s="15" t="n">
        <v>43</v>
      </c>
      <c r="J10" s="74" t="n">
        <v>0</v>
      </c>
      <c r="K10" s="74" t="n">
        <v>0</v>
      </c>
      <c r="L10" s="74" t="n">
        <v>0</v>
      </c>
      <c r="M10" s="74" t="n">
        <v>0</v>
      </c>
      <c r="N10" s="74" t="n">
        <v>0</v>
      </c>
    </row>
    <row r="11" ht="20.15" customHeight="1">
      <c r="A11" s="17" t="inlineStr">
        <is>
          <t>预付款项</t>
        </is>
      </c>
      <c r="B11" s="15" t="n">
        <v>8</v>
      </c>
      <c r="C11" s="74" t="n">
        <v>0</v>
      </c>
      <c r="D11" s="74" t="n">
        <v>0</v>
      </c>
      <c r="E11" s="74" t="n">
        <v>0</v>
      </c>
      <c r="F11" s="74" t="n">
        <v>0</v>
      </c>
      <c r="G11" s="74" t="n">
        <v>0</v>
      </c>
      <c r="H11" s="3" t="inlineStr">
        <is>
          <t>合同负债</t>
        </is>
      </c>
      <c r="I11" s="15" t="n">
        <v>44</v>
      </c>
      <c r="J11" s="74" t="n">
        <v>0</v>
      </c>
      <c r="K11" s="74" t="n">
        <v>0</v>
      </c>
      <c r="L11" s="74" t="n">
        <v>0</v>
      </c>
      <c r="M11" s="74" t="n">
        <v>0</v>
      </c>
      <c r="N11" s="74" t="n">
        <v>0</v>
      </c>
    </row>
    <row r="12" ht="20.15" customHeight="1">
      <c r="A12" s="17" t="inlineStr">
        <is>
          <t>其他应收款</t>
        </is>
      </c>
      <c r="B12" s="15" t="n">
        <v>9</v>
      </c>
      <c r="C12" s="74" t="n">
        <v>0</v>
      </c>
      <c r="D12" s="74" t="n">
        <v>0</v>
      </c>
      <c r="E12" s="74" t="n">
        <v>0</v>
      </c>
      <c r="F12" s="74" t="n">
        <v>0</v>
      </c>
      <c r="G12" s="74" t="n">
        <v>0</v>
      </c>
      <c r="H12" s="3" t="inlineStr">
        <is>
          <t>应付职工薪酬</t>
        </is>
      </c>
      <c r="I12" s="15" t="n">
        <v>45</v>
      </c>
      <c r="J12" s="74" t="n">
        <v>0</v>
      </c>
      <c r="K12" s="74" t="n">
        <v>0</v>
      </c>
      <c r="L12" s="74" t="n">
        <v>0</v>
      </c>
      <c r="M12" s="74" t="n">
        <v>0</v>
      </c>
      <c r="N12" s="74" t="n">
        <v>0</v>
      </c>
    </row>
    <row r="13" ht="20.15" customHeight="1">
      <c r="A13" s="17" t="inlineStr">
        <is>
          <t>存货</t>
        </is>
      </c>
      <c r="B13" s="15" t="n">
        <v>10</v>
      </c>
      <c r="C13" s="74" t="n">
        <v>0</v>
      </c>
      <c r="D13" s="74" t="n">
        <v>0</v>
      </c>
      <c r="E13" s="74" t="n">
        <v>0</v>
      </c>
      <c r="F13" s="74" t="n">
        <v>0</v>
      </c>
      <c r="G13" s="74" t="n">
        <v>0</v>
      </c>
      <c r="H13" s="3" t="inlineStr">
        <is>
          <t>应交税费</t>
        </is>
      </c>
      <c r="I13" s="15" t="n">
        <v>46</v>
      </c>
      <c r="J13" s="74" t="n">
        <v>0</v>
      </c>
      <c r="K13" s="74" t="n">
        <v>0</v>
      </c>
      <c r="L13" s="74" t="n">
        <v>0</v>
      </c>
      <c r="M13" s="74" t="n">
        <v>0</v>
      </c>
      <c r="N13" s="74" t="n">
        <v>0</v>
      </c>
    </row>
    <row r="14" ht="20.15" customHeight="1">
      <c r="A14" s="17" t="inlineStr">
        <is>
          <t>合同资产</t>
        </is>
      </c>
      <c r="B14" s="15" t="n">
        <v>11</v>
      </c>
      <c r="C14" s="74" t="n">
        <v>0</v>
      </c>
      <c r="D14" s="74" t="n">
        <v>0</v>
      </c>
      <c r="E14" s="74" t="n">
        <v>0</v>
      </c>
      <c r="F14" s="74" t="n">
        <v>0</v>
      </c>
      <c r="G14" s="74" t="n">
        <v>0</v>
      </c>
      <c r="H14" s="3" t="inlineStr">
        <is>
          <t>其他应付款</t>
        </is>
      </c>
      <c r="I14" s="15" t="n">
        <v>47</v>
      </c>
      <c r="J14" s="74" t="n">
        <v>0</v>
      </c>
      <c r="K14" s="74" t="n">
        <v>0</v>
      </c>
      <c r="L14" s="74" t="n">
        <v>0</v>
      </c>
      <c r="M14" s="74" t="n">
        <v>0</v>
      </c>
      <c r="N14" s="74" t="n">
        <v>0</v>
      </c>
    </row>
    <row r="15" ht="20.15" customHeight="1">
      <c r="A15" s="17" t="inlineStr">
        <is>
          <t>持有待售资产</t>
        </is>
      </c>
      <c r="B15" s="15" t="n">
        <v>12</v>
      </c>
      <c r="C15" s="74" t="n">
        <v>0</v>
      </c>
      <c r="D15" s="74" t="n">
        <v>0</v>
      </c>
      <c r="E15" s="74" t="n">
        <v>0</v>
      </c>
      <c r="F15" s="74" t="n">
        <v>0</v>
      </c>
      <c r="G15" s="74" t="n">
        <v>0</v>
      </c>
      <c r="H15" s="3" t="inlineStr">
        <is>
          <t>持有待售负债</t>
        </is>
      </c>
      <c r="I15" s="15" t="n">
        <v>48</v>
      </c>
      <c r="J15" s="74" t="n">
        <v>0</v>
      </c>
      <c r="K15" s="74" t="n">
        <v>0</v>
      </c>
      <c r="L15" s="74" t="n">
        <v>0</v>
      </c>
      <c r="M15" s="74" t="n">
        <v>0</v>
      </c>
      <c r="N15" s="74" t="n">
        <v>0</v>
      </c>
    </row>
    <row r="16" ht="20.15" customHeight="1">
      <c r="A16" s="17" t="inlineStr">
        <is>
          <t>一年内到期的非流动资产</t>
        </is>
      </c>
      <c r="B16" s="15" t="n">
        <v>13</v>
      </c>
      <c r="C16" s="74" t="n">
        <v>0</v>
      </c>
      <c r="D16" s="74" t="n">
        <v>0</v>
      </c>
      <c r="E16" s="74" t="n">
        <v>0</v>
      </c>
      <c r="F16" s="74" t="n">
        <v>0</v>
      </c>
      <c r="G16" s="74" t="n">
        <v>0</v>
      </c>
      <c r="H16" s="3" t="inlineStr">
        <is>
          <t>一年内到期的非流动负债</t>
        </is>
      </c>
      <c r="I16" s="15" t="n">
        <v>49</v>
      </c>
      <c r="J16" s="74" t="n">
        <v>0</v>
      </c>
      <c r="K16" s="74" t="n">
        <v>0</v>
      </c>
      <c r="L16" s="74" t="n">
        <v>0</v>
      </c>
      <c r="M16" s="74" t="n">
        <v>0</v>
      </c>
      <c r="N16" s="74" t="n">
        <v>0</v>
      </c>
    </row>
    <row r="17" ht="20.15" customHeight="1">
      <c r="A17" s="17" t="inlineStr">
        <is>
          <t>其他流动资产</t>
        </is>
      </c>
      <c r="B17" s="15" t="n">
        <v>14</v>
      </c>
      <c r="C17" s="74" t="n">
        <v>0</v>
      </c>
      <c r="D17" s="74" t="n">
        <v>0</v>
      </c>
      <c r="E17" s="74" t="n">
        <v>0</v>
      </c>
      <c r="F17" s="74" t="n">
        <v>0</v>
      </c>
      <c r="G17" s="74" t="n">
        <v>0</v>
      </c>
      <c r="H17" s="3" t="inlineStr">
        <is>
          <t>其他流动负债</t>
        </is>
      </c>
      <c r="I17" s="15" t="n">
        <v>50</v>
      </c>
      <c r="J17" s="74" t="n">
        <v>0</v>
      </c>
      <c r="K17" s="74" t="n">
        <v>0</v>
      </c>
      <c r="L17" s="74" t="n">
        <v>0</v>
      </c>
      <c r="M17" s="74" t="n">
        <v>0</v>
      </c>
      <c r="N17" s="74" t="n">
        <v>0</v>
      </c>
    </row>
    <row r="18" ht="20.15" customHeight="1">
      <c r="A18" s="18" t="inlineStr">
        <is>
          <t>流动资产合计</t>
        </is>
      </c>
      <c r="B18" s="15" t="n">
        <v>15</v>
      </c>
      <c r="C18" s="75">
        <f>SUM(C5:C17)</f>
        <v/>
      </c>
      <c r="D18" s="75">
        <f>SUM(D5:D17)</f>
        <v/>
      </c>
      <c r="E18" s="75">
        <f>SUM(E5:E17)</f>
        <v/>
      </c>
      <c r="F18" s="75">
        <f>SUM(F5:F17)</f>
        <v/>
      </c>
      <c r="G18" s="75">
        <f>SUM(G5:G17)</f>
        <v/>
      </c>
      <c r="H18" s="5" t="inlineStr">
        <is>
          <t>流动负债合计</t>
        </is>
      </c>
      <c r="I18" s="15" t="n">
        <v>51</v>
      </c>
      <c r="J18" s="75">
        <f>SUM(J5:J17)</f>
        <v/>
      </c>
      <c r="K18" s="75">
        <f>SUM(K5:K17)</f>
        <v/>
      </c>
      <c r="L18" s="75">
        <f>SUM(L5:L17)</f>
        <v/>
      </c>
      <c r="M18" s="75">
        <f>SUM(M5:M17)</f>
        <v/>
      </c>
      <c r="N18" s="75">
        <f>SUM(N5:N17)</f>
        <v/>
      </c>
    </row>
    <row r="19" ht="20.15" customHeight="1">
      <c r="A19" s="10" t="inlineStr">
        <is>
          <t>非流动资产：</t>
        </is>
      </c>
      <c r="B19" s="15" t="n">
        <v>16</v>
      </c>
      <c r="C19" s="76" t="n"/>
      <c r="D19" s="76" t="n"/>
      <c r="E19" s="76" t="n"/>
      <c r="F19" s="76" t="n"/>
      <c r="G19" s="76" t="n"/>
      <c r="H19" s="2" t="inlineStr">
        <is>
          <t>非流动负债：</t>
        </is>
      </c>
      <c r="I19" s="15" t="n">
        <v>52</v>
      </c>
      <c r="J19" s="76" t="n"/>
      <c r="K19" s="76" t="n"/>
      <c r="L19" s="76" t="n"/>
      <c r="M19" s="76" t="n"/>
      <c r="N19" s="76" t="n"/>
    </row>
    <row r="20" ht="20.15" customHeight="1">
      <c r="A20" s="17" t="inlineStr">
        <is>
          <t>债权投资</t>
        </is>
      </c>
      <c r="B20" s="15" t="n">
        <v>17</v>
      </c>
      <c r="C20" s="74" t="n">
        <v>0</v>
      </c>
      <c r="D20" s="74" t="n">
        <v>0</v>
      </c>
      <c r="E20" s="74" t="n">
        <v>0</v>
      </c>
      <c r="F20" s="74" t="n">
        <v>0</v>
      </c>
      <c r="G20" s="74" t="n">
        <v>0</v>
      </c>
      <c r="H20" s="3" t="inlineStr">
        <is>
          <t>长期借款</t>
        </is>
      </c>
      <c r="I20" s="15" t="n">
        <v>53</v>
      </c>
      <c r="J20" s="74" t="n">
        <v>0</v>
      </c>
      <c r="K20" s="74" t="n">
        <v>0</v>
      </c>
      <c r="L20" s="74" t="n">
        <v>0</v>
      </c>
      <c r="M20" s="74" t="n">
        <v>0</v>
      </c>
      <c r="N20" s="74" t="n">
        <v>0</v>
      </c>
    </row>
    <row r="21" ht="20.15" customHeight="1">
      <c r="A21" s="17" t="inlineStr">
        <is>
          <t>其他债权投资</t>
        </is>
      </c>
      <c r="B21" s="15" t="n">
        <v>18</v>
      </c>
      <c r="C21" s="74" t="n">
        <v>0</v>
      </c>
      <c r="D21" s="74" t="n">
        <v>0</v>
      </c>
      <c r="E21" s="74" t="n">
        <v>0</v>
      </c>
      <c r="F21" s="74" t="n">
        <v>0</v>
      </c>
      <c r="G21" s="74" t="n">
        <v>0</v>
      </c>
      <c r="H21" s="3" t="inlineStr">
        <is>
          <t>应付债券</t>
        </is>
      </c>
      <c r="I21" s="15" t="n">
        <v>54</v>
      </c>
      <c r="J21" s="74" t="n">
        <v>0</v>
      </c>
      <c r="K21" s="74" t="n">
        <v>0</v>
      </c>
      <c r="L21" s="74" t="n">
        <v>0</v>
      </c>
      <c r="M21" s="74" t="n">
        <v>0</v>
      </c>
      <c r="N21" s="74" t="n">
        <v>0</v>
      </c>
    </row>
    <row r="22" ht="20.15" customHeight="1">
      <c r="A22" s="17" t="inlineStr">
        <is>
          <t>长期应收款</t>
        </is>
      </c>
      <c r="B22" s="15" t="n">
        <v>19</v>
      </c>
      <c r="C22" s="74" t="n">
        <v>0</v>
      </c>
      <c r="D22" s="74" t="n">
        <v>0</v>
      </c>
      <c r="E22" s="74" t="n">
        <v>0</v>
      </c>
      <c r="F22" s="74" t="n">
        <v>0</v>
      </c>
      <c r="G22" s="74" t="n">
        <v>0</v>
      </c>
      <c r="H22" s="5" t="inlineStr">
        <is>
          <t>其中：优先股</t>
        </is>
      </c>
      <c r="I22" s="15" t="n">
        <v>55</v>
      </c>
      <c r="J22" s="74" t="n">
        <v>0</v>
      </c>
      <c r="K22" s="74" t="n">
        <v>0</v>
      </c>
      <c r="L22" s="74" t="n">
        <v>0</v>
      </c>
      <c r="M22" s="74" t="n">
        <v>0</v>
      </c>
      <c r="N22" s="74" t="n">
        <v>0</v>
      </c>
    </row>
    <row r="23" ht="20.15" customHeight="1">
      <c r="A23" s="17" t="inlineStr">
        <is>
          <t>长期股权投资</t>
        </is>
      </c>
      <c r="B23" s="15" t="n">
        <v>20</v>
      </c>
      <c r="C23" s="74" t="n">
        <v>0</v>
      </c>
      <c r="D23" s="74" t="n">
        <v>0</v>
      </c>
      <c r="E23" s="74" t="n">
        <v>0</v>
      </c>
      <c r="F23" s="74" t="n">
        <v>0</v>
      </c>
      <c r="G23" s="74" t="n">
        <v>0</v>
      </c>
      <c r="H23" s="46" t="inlineStr">
        <is>
          <t>永续债</t>
        </is>
      </c>
      <c r="I23" s="15" t="n">
        <v>56</v>
      </c>
      <c r="J23" s="74" t="n">
        <v>0</v>
      </c>
      <c r="K23" s="74" t="n">
        <v>0</v>
      </c>
      <c r="L23" s="74" t="n">
        <v>0</v>
      </c>
      <c r="M23" s="74" t="n">
        <v>0</v>
      </c>
      <c r="N23" s="74" t="n">
        <v>0</v>
      </c>
    </row>
    <row r="24" ht="20.15" customHeight="1">
      <c r="A24" s="17" t="inlineStr">
        <is>
          <t>其他权益工具投资</t>
        </is>
      </c>
      <c r="B24" s="15" t="n">
        <v>21</v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</v>
      </c>
      <c r="H24" s="3" t="inlineStr">
        <is>
          <t>租赁负债</t>
        </is>
      </c>
      <c r="I24" s="15" t="n">
        <v>57</v>
      </c>
      <c r="J24" s="74" t="n">
        <v>0</v>
      </c>
      <c r="K24" s="74" t="n">
        <v>0</v>
      </c>
      <c r="L24" s="74" t="n">
        <v>0</v>
      </c>
      <c r="M24" s="74" t="n">
        <v>0</v>
      </c>
      <c r="N24" s="74" t="n">
        <v>0</v>
      </c>
    </row>
    <row r="25" ht="20.15" customHeight="1">
      <c r="A25" s="17" t="inlineStr">
        <is>
          <t>其他非流动金融资产</t>
        </is>
      </c>
      <c r="B25" s="15" t="n">
        <v>22</v>
      </c>
      <c r="C25" s="74" t="n">
        <v>0</v>
      </c>
      <c r="D25" s="74" t="n">
        <v>0</v>
      </c>
      <c r="E25" s="74" t="n">
        <v>0</v>
      </c>
      <c r="F25" s="74" t="n">
        <v>0</v>
      </c>
      <c r="G25" s="74" t="n">
        <v>0</v>
      </c>
      <c r="H25" s="3" t="inlineStr">
        <is>
          <t>长期应付款</t>
        </is>
      </c>
      <c r="I25" s="15" t="n">
        <v>58</v>
      </c>
      <c r="J25" s="74" t="n">
        <v>0</v>
      </c>
      <c r="K25" s="74" t="n">
        <v>0</v>
      </c>
      <c r="L25" s="74" t="n">
        <v>0</v>
      </c>
      <c r="M25" s="74" t="n">
        <v>0</v>
      </c>
      <c r="N25" s="74" t="n">
        <v>0</v>
      </c>
    </row>
    <row r="26" ht="20.15" customHeight="1">
      <c r="A26" s="17" t="inlineStr">
        <is>
          <t>投资性房地产</t>
        </is>
      </c>
      <c r="B26" s="15" t="n">
        <v>23</v>
      </c>
      <c r="C26" s="74" t="n">
        <v>0</v>
      </c>
      <c r="D26" s="74" t="n">
        <v>0</v>
      </c>
      <c r="E26" s="74" t="n">
        <v>0</v>
      </c>
      <c r="F26" s="74" t="n">
        <v>0</v>
      </c>
      <c r="G26" s="74" t="n">
        <v>0</v>
      </c>
      <c r="H26" s="3" t="inlineStr">
        <is>
          <t>预计负债</t>
        </is>
      </c>
      <c r="I26" s="15" t="n">
        <v>59</v>
      </c>
      <c r="J26" s="74" t="n">
        <v>0</v>
      </c>
      <c r="K26" s="74" t="n">
        <v>0</v>
      </c>
      <c r="L26" s="74" t="n">
        <v>0</v>
      </c>
      <c r="M26" s="74" t="n">
        <v>0</v>
      </c>
      <c r="N26" s="74" t="n">
        <v>0</v>
      </c>
    </row>
    <row r="27" ht="20.15" customHeight="1">
      <c r="A27" s="17" t="inlineStr">
        <is>
          <t>固定资产</t>
        </is>
      </c>
      <c r="B27" s="15" t="n">
        <v>24</v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3" t="inlineStr">
        <is>
          <t>递延收益</t>
        </is>
      </c>
      <c r="I27" s="15" t="n">
        <v>60</v>
      </c>
      <c r="J27" s="74" t="n">
        <v>0</v>
      </c>
      <c r="K27" s="74" t="n">
        <v>0</v>
      </c>
      <c r="L27" s="74" t="n">
        <v>0</v>
      </c>
      <c r="M27" s="74" t="n">
        <v>0</v>
      </c>
      <c r="N27" s="74" t="n">
        <v>0</v>
      </c>
    </row>
    <row r="28" ht="20.15" customHeight="1">
      <c r="A28" s="17" t="inlineStr">
        <is>
          <t>在建工程</t>
        </is>
      </c>
      <c r="B28" s="15" t="n">
        <v>25</v>
      </c>
      <c r="C28" s="74" t="n">
        <v>0</v>
      </c>
      <c r="D28" s="74" t="n">
        <v>0</v>
      </c>
      <c r="E28" s="74" t="n">
        <v>0</v>
      </c>
      <c r="F28" s="74" t="n">
        <v>0</v>
      </c>
      <c r="G28" s="74" t="n">
        <v>0</v>
      </c>
      <c r="H28" s="3" t="inlineStr">
        <is>
          <t>递延所得税负债</t>
        </is>
      </c>
      <c r="I28" s="15" t="n">
        <v>61</v>
      </c>
      <c r="J28" s="74" t="n">
        <v>0</v>
      </c>
      <c r="K28" s="74" t="n">
        <v>0</v>
      </c>
      <c r="L28" s="74" t="n">
        <v>0</v>
      </c>
      <c r="M28" s="74" t="n">
        <v>0</v>
      </c>
      <c r="N28" s="74" t="n">
        <v>0</v>
      </c>
    </row>
    <row r="29" ht="20.15" customHeight="1">
      <c r="A29" s="17" t="inlineStr">
        <is>
          <t>生产性生物资产</t>
        </is>
      </c>
      <c r="B29" s="15" t="n">
        <v>26</v>
      </c>
      <c r="C29" s="74" t="n">
        <v>0</v>
      </c>
      <c r="D29" s="74" t="n">
        <v>0</v>
      </c>
      <c r="E29" s="74" t="n">
        <v>0</v>
      </c>
      <c r="F29" s="74" t="n">
        <v>0</v>
      </c>
      <c r="G29" s="74" t="n">
        <v>0</v>
      </c>
      <c r="H29" s="3" t="inlineStr">
        <is>
          <t>其他非流动负债</t>
        </is>
      </c>
      <c r="I29" s="15" t="n">
        <v>62</v>
      </c>
      <c r="J29" s="74" t="n">
        <v>0</v>
      </c>
      <c r="K29" s="74" t="n">
        <v>0</v>
      </c>
      <c r="L29" s="74" t="n">
        <v>0</v>
      </c>
      <c r="M29" s="74" t="n">
        <v>0</v>
      </c>
      <c r="N29" s="74" t="n">
        <v>0</v>
      </c>
    </row>
    <row r="30" ht="20.15" customHeight="1">
      <c r="A30" s="17" t="inlineStr">
        <is>
          <t>油气资产</t>
        </is>
      </c>
      <c r="B30" s="15" t="n">
        <v>27</v>
      </c>
      <c r="C30" s="74" t="n">
        <v>0</v>
      </c>
      <c r="D30" s="74" t="n">
        <v>0</v>
      </c>
      <c r="E30" s="74" t="n">
        <v>0</v>
      </c>
      <c r="F30" s="74" t="n">
        <v>0</v>
      </c>
      <c r="G30" s="74" t="n">
        <v>0</v>
      </c>
      <c r="H30" s="5" t="inlineStr">
        <is>
          <t>非流动负债合计</t>
        </is>
      </c>
      <c r="I30" s="15" t="n">
        <v>63</v>
      </c>
      <c r="J30" s="77">
        <f>SUM(J20,J21,J24:J29)</f>
        <v/>
      </c>
      <c r="K30" s="77">
        <f>SUM(K20,K21,K24:K29)</f>
        <v/>
      </c>
      <c r="L30" s="77">
        <f>SUM(L20,L21,L24:L29)</f>
        <v/>
      </c>
      <c r="M30" s="77">
        <f>SUM(M20,M21,M24:M29)</f>
        <v/>
      </c>
      <c r="N30" s="77">
        <f>SUM(N20,N21,N24:N29)</f>
        <v/>
      </c>
    </row>
    <row r="31" ht="20.15" customHeight="1">
      <c r="A31" s="17" t="inlineStr">
        <is>
          <t>使用权资产</t>
        </is>
      </c>
      <c r="B31" s="15" t="n">
        <v>28</v>
      </c>
      <c r="C31" s="74" t="n">
        <v>0</v>
      </c>
      <c r="D31" s="74" t="n">
        <v>0</v>
      </c>
      <c r="E31" s="74" t="n">
        <v>0</v>
      </c>
      <c r="F31" s="74" t="n">
        <v>0</v>
      </c>
      <c r="G31" s="74" t="n">
        <v>0</v>
      </c>
      <c r="H31" s="2" t="inlineStr">
        <is>
          <t>负债合计</t>
        </is>
      </c>
      <c r="I31" s="15" t="n">
        <v>64</v>
      </c>
      <c r="J31" s="75">
        <f>J18+J30</f>
        <v/>
      </c>
      <c r="K31" s="75">
        <f>K18+K30</f>
        <v/>
      </c>
      <c r="L31" s="75">
        <f>L18+L30</f>
        <v/>
      </c>
      <c r="M31" s="75">
        <f>M18+M30</f>
        <v/>
      </c>
      <c r="N31" s="75">
        <f>N18+N30</f>
        <v/>
      </c>
    </row>
    <row r="32" ht="20.15" customHeight="1">
      <c r="A32" s="17" t="inlineStr">
        <is>
          <t>无形资产</t>
        </is>
      </c>
      <c r="B32" s="15" t="n">
        <v>29</v>
      </c>
      <c r="C32" s="74" t="n">
        <v>0</v>
      </c>
      <c r="D32" s="74" t="n">
        <v>0</v>
      </c>
      <c r="E32" s="74" t="n">
        <v>0</v>
      </c>
      <c r="F32" s="74" t="n">
        <v>0</v>
      </c>
      <c r="G32" s="74" t="n">
        <v>0</v>
      </c>
      <c r="H32" s="2" t="inlineStr">
        <is>
          <t>所有者权益（或股东权益）：</t>
        </is>
      </c>
      <c r="I32" s="15" t="n">
        <v>65</v>
      </c>
      <c r="J32" s="76" t="n"/>
      <c r="K32" s="76" t="n"/>
      <c r="L32" s="76" t="n"/>
      <c r="M32" s="76" t="n"/>
      <c r="N32" s="76" t="n"/>
    </row>
    <row r="33" ht="20.15" customHeight="1">
      <c r="A33" s="17" t="inlineStr">
        <is>
          <t>开发支出</t>
        </is>
      </c>
      <c r="B33" s="15" t="n">
        <v>30</v>
      </c>
      <c r="C33" s="74" t="n">
        <v>0</v>
      </c>
      <c r="D33" s="74" t="n">
        <v>0</v>
      </c>
      <c r="E33" s="74" t="n">
        <v>0</v>
      </c>
      <c r="F33" s="74" t="n">
        <v>0</v>
      </c>
      <c r="G33" s="74" t="n">
        <v>0</v>
      </c>
      <c r="H33" s="3" t="inlineStr">
        <is>
          <t>实收资本（或股本）</t>
        </is>
      </c>
      <c r="I33" s="15" t="n">
        <v>66</v>
      </c>
      <c r="J33" s="74" t="n">
        <v>100</v>
      </c>
      <c r="K33" s="74" t="n">
        <v>0</v>
      </c>
      <c r="L33" s="74" t="n">
        <v>0</v>
      </c>
      <c r="M33" s="74" t="n">
        <v>0</v>
      </c>
      <c r="N33" s="74" t="n">
        <v>0</v>
      </c>
    </row>
    <row r="34" ht="20.15" customHeight="1">
      <c r="A34" s="17" t="inlineStr">
        <is>
          <t>商誉</t>
        </is>
      </c>
      <c r="B34" s="15" t="n">
        <v>31</v>
      </c>
      <c r="C34" s="74" t="n">
        <v>0</v>
      </c>
      <c r="D34" s="74" t="n">
        <v>0</v>
      </c>
      <c r="E34" s="74" t="n">
        <v>0</v>
      </c>
      <c r="F34" s="74" t="n">
        <v>0</v>
      </c>
      <c r="G34" s="74" t="n">
        <v>0</v>
      </c>
      <c r="H34" s="3" t="inlineStr">
        <is>
          <t>其他权益工具</t>
        </is>
      </c>
      <c r="I34" s="15" t="n">
        <v>67</v>
      </c>
      <c r="J34" s="74" t="n">
        <v>0</v>
      </c>
      <c r="K34" s="74" t="n">
        <v>0</v>
      </c>
      <c r="L34" s="74" t="n">
        <v>0</v>
      </c>
      <c r="M34" s="74" t="n">
        <v>0</v>
      </c>
      <c r="N34" s="74" t="n">
        <v>0</v>
      </c>
    </row>
    <row r="35" ht="20.15" customHeight="1">
      <c r="A35" s="17" t="inlineStr">
        <is>
          <t>长期待摊费用</t>
        </is>
      </c>
      <c r="B35" s="15" t="n">
        <v>32</v>
      </c>
      <c r="C35" s="74" t="n">
        <v>0</v>
      </c>
      <c r="D35" s="74" t="n">
        <v>0</v>
      </c>
      <c r="E35" s="74" t="n">
        <v>0</v>
      </c>
      <c r="F35" s="74" t="n">
        <v>0</v>
      </c>
      <c r="G35" s="74" t="n">
        <v>0</v>
      </c>
      <c r="H35" s="5" t="inlineStr">
        <is>
          <t>其中：优先股</t>
        </is>
      </c>
      <c r="I35" s="15" t="n">
        <v>68</v>
      </c>
      <c r="J35" s="74" t="n">
        <v>0</v>
      </c>
      <c r="K35" s="74" t="n">
        <v>0</v>
      </c>
      <c r="L35" s="74" t="n">
        <v>0</v>
      </c>
      <c r="M35" s="74" t="n">
        <v>0</v>
      </c>
      <c r="N35" s="74" t="n">
        <v>0</v>
      </c>
    </row>
    <row r="36" ht="20.15" customHeight="1">
      <c r="A36" s="17" t="inlineStr">
        <is>
          <t>递延所得税资产</t>
        </is>
      </c>
      <c r="B36" s="15" t="n">
        <v>33</v>
      </c>
      <c r="C36" s="74" t="n">
        <v>0</v>
      </c>
      <c r="D36" s="74" t="n">
        <v>0</v>
      </c>
      <c r="E36" s="74" t="n">
        <v>0</v>
      </c>
      <c r="F36" s="74" t="n">
        <v>0</v>
      </c>
      <c r="G36" s="74" t="n">
        <v>0</v>
      </c>
      <c r="H36" s="46" t="inlineStr">
        <is>
          <t>永续债</t>
        </is>
      </c>
      <c r="I36" s="15" t="n">
        <v>69</v>
      </c>
      <c r="J36" s="74" t="n">
        <v>0</v>
      </c>
      <c r="K36" s="74" t="n">
        <v>0</v>
      </c>
      <c r="L36" s="74" t="n">
        <v>0</v>
      </c>
      <c r="M36" s="74" t="n">
        <v>0</v>
      </c>
      <c r="N36" s="74" t="n">
        <v>0</v>
      </c>
    </row>
    <row r="37" ht="20.15" customHeight="1">
      <c r="A37" s="17" t="inlineStr">
        <is>
          <t>其他非流动资产</t>
        </is>
      </c>
      <c r="B37" s="15" t="n">
        <v>34</v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</v>
      </c>
      <c r="H37" s="3" t="inlineStr">
        <is>
          <t>资本公积</t>
        </is>
      </c>
      <c r="I37" s="15" t="n">
        <v>70</v>
      </c>
      <c r="J37" s="74" t="n">
        <v>0</v>
      </c>
      <c r="K37" s="74" t="n">
        <v>0</v>
      </c>
      <c r="L37" s="74" t="n">
        <v>0</v>
      </c>
      <c r="M37" s="74" t="n">
        <v>0</v>
      </c>
      <c r="N37" s="74" t="n">
        <v>0</v>
      </c>
    </row>
    <row r="38" ht="20.15" customHeight="1">
      <c r="A38" s="18" t="inlineStr">
        <is>
          <t>非流动资产合计</t>
        </is>
      </c>
      <c r="B38" s="15" t="n">
        <v>35</v>
      </c>
      <c r="C38" s="75">
        <f>SUM(C20:C37)</f>
        <v/>
      </c>
      <c r="D38" s="75">
        <f>SUM(D20:D37)</f>
        <v/>
      </c>
      <c r="E38" s="75">
        <f>SUM(E20:E37)</f>
        <v/>
      </c>
      <c r="F38" s="75">
        <f>SUM(F20:F37)</f>
        <v/>
      </c>
      <c r="G38" s="75">
        <f>SUM(G20:G37)</f>
        <v/>
      </c>
      <c r="H38" s="3" t="inlineStr">
        <is>
          <t>减：库存股</t>
        </is>
      </c>
      <c r="I38" s="15" t="n">
        <v>71</v>
      </c>
      <c r="J38" s="74" t="n">
        <v>0</v>
      </c>
      <c r="K38" s="74" t="n">
        <v>0</v>
      </c>
      <c r="L38" s="74" t="n">
        <v>0</v>
      </c>
      <c r="M38" s="74" t="n">
        <v>0</v>
      </c>
      <c r="N38" s="74" t="n">
        <v>0</v>
      </c>
    </row>
    <row r="39" ht="20.15" customHeight="1">
      <c r="A39" s="10" t="n"/>
      <c r="B39" s="15" t="n"/>
      <c r="C39" s="76" t="n"/>
      <c r="D39" s="76" t="n"/>
      <c r="E39" s="76" t="n"/>
      <c r="F39" s="76" t="n"/>
      <c r="G39" s="76" t="n"/>
      <c r="H39" s="3" t="inlineStr">
        <is>
          <t>其他综合收益</t>
        </is>
      </c>
      <c r="I39" s="15" t="n">
        <v>72</v>
      </c>
      <c r="J39" s="74" t="n">
        <v>0</v>
      </c>
      <c r="K39" s="74" t="n">
        <v>0</v>
      </c>
      <c r="L39" s="74" t="n">
        <v>0</v>
      </c>
      <c r="M39" s="74" t="n">
        <v>0</v>
      </c>
      <c r="N39" s="74" t="n">
        <v>0</v>
      </c>
    </row>
    <row r="40" ht="20.15" customHeight="1">
      <c r="A40" s="10" t="n"/>
      <c r="B40" s="15" t="n"/>
      <c r="C40" s="76" t="n"/>
      <c r="D40" s="76" t="n"/>
      <c r="E40" s="76" t="n"/>
      <c r="F40" s="76" t="n"/>
      <c r="G40" s="76" t="n"/>
      <c r="H40" s="3" t="inlineStr">
        <is>
          <t>专项储备</t>
        </is>
      </c>
      <c r="I40" s="15" t="n">
        <v>73</v>
      </c>
      <c r="J40" s="74" t="n">
        <v>0</v>
      </c>
      <c r="K40" s="74" t="n">
        <v>0</v>
      </c>
      <c r="L40" s="74" t="n">
        <v>0</v>
      </c>
      <c r="M40" s="74" t="n">
        <v>0</v>
      </c>
      <c r="N40" s="74" t="n">
        <v>0</v>
      </c>
    </row>
    <row r="41" ht="20.15" customHeight="1">
      <c r="A41" s="10" t="n"/>
      <c r="B41" s="15" t="n"/>
      <c r="C41" s="76" t="n"/>
      <c r="D41" s="76" t="n"/>
      <c r="E41" s="76" t="n"/>
      <c r="F41" s="76" t="n"/>
      <c r="G41" s="76" t="n"/>
      <c r="H41" s="3" t="inlineStr">
        <is>
          <t>盈余公积</t>
        </is>
      </c>
      <c r="I41" s="15" t="n">
        <v>74</v>
      </c>
      <c r="J41" s="74" t="n">
        <v>0</v>
      </c>
      <c r="K41" s="74" t="n">
        <v>0</v>
      </c>
      <c r="L41" s="74" t="n">
        <v>0</v>
      </c>
      <c r="M41" s="74" t="n">
        <v>0</v>
      </c>
      <c r="N41" s="74" t="n">
        <v>0</v>
      </c>
    </row>
    <row r="42" ht="20.15" customHeight="1">
      <c r="A42" s="10" t="n"/>
      <c r="B42" s="15" t="n"/>
      <c r="C42" s="76" t="n"/>
      <c r="D42" s="76" t="n"/>
      <c r="E42" s="76" t="n"/>
      <c r="F42" s="76" t="n"/>
      <c r="G42" s="76" t="n"/>
      <c r="H42" s="3" t="inlineStr">
        <is>
          <t>未分配利润</t>
        </is>
      </c>
      <c r="I42" s="15" t="n">
        <v>75</v>
      </c>
      <c r="J42" s="74" t="n">
        <v>0</v>
      </c>
      <c r="K42" s="74" t="n">
        <v>0</v>
      </c>
      <c r="L42" s="74" t="n">
        <v>0</v>
      </c>
      <c r="M42" s="74" t="n">
        <v>0</v>
      </c>
      <c r="N42" s="74" t="n">
        <v>0</v>
      </c>
    </row>
    <row r="43" ht="20.15" customHeight="1">
      <c r="A43" s="10" t="n"/>
      <c r="B43" s="15" t="n"/>
      <c r="C43" s="76" t="n"/>
      <c r="D43" s="76" t="n"/>
      <c r="E43" s="76" t="n"/>
      <c r="F43" s="76" t="n"/>
      <c r="G43" s="76" t="n"/>
      <c r="H43" s="2" t="inlineStr">
        <is>
          <t>所有者权益（或股东权益）合计</t>
        </is>
      </c>
      <c r="I43" s="15" t="n">
        <v>76</v>
      </c>
      <c r="J43" s="75">
        <f>SUM(J33:J34,J37,J39:J42)-J38</f>
        <v/>
      </c>
      <c r="K43" s="75">
        <f>SUM(K33:K34,K37,K39:K42)-K38</f>
        <v/>
      </c>
      <c r="L43" s="75">
        <f>SUM(L33:L34,L37,L39:L42)-L38</f>
        <v/>
      </c>
      <c r="M43" s="75">
        <f>SUM(M33:M34,M37,M39:M42)-M38</f>
        <v/>
      </c>
      <c r="N43" s="75">
        <f>SUM(N33:N34,N37,N39:N42)-N38</f>
        <v/>
      </c>
    </row>
    <row r="44" ht="20.15" customHeight="1">
      <c r="A44" s="6" t="inlineStr">
        <is>
          <t>资产总计</t>
        </is>
      </c>
      <c r="B44" s="36" t="n">
        <v>36</v>
      </c>
      <c r="C44" s="78">
        <f>C18+C38</f>
        <v/>
      </c>
      <c r="D44" s="78">
        <f>D18+D38</f>
        <v/>
      </c>
      <c r="E44" s="78">
        <f>E18+E38</f>
        <v/>
      </c>
      <c r="F44" s="78">
        <f>F18+F38</f>
        <v/>
      </c>
      <c r="G44" s="78">
        <f>G18+G38</f>
        <v/>
      </c>
      <c r="H44" s="7" t="inlineStr">
        <is>
          <t>负债和所有者权益（或股东权益）总计</t>
        </is>
      </c>
      <c r="I44" s="36" t="n">
        <v>77</v>
      </c>
      <c r="J44" s="78">
        <f>J31+J43</f>
        <v/>
      </c>
      <c r="K44" s="78">
        <f>K31+K43</f>
        <v/>
      </c>
      <c r="L44" s="78">
        <f>L31+L43</f>
        <v/>
      </c>
      <c r="M44" s="78">
        <f>M31+M43</f>
        <v/>
      </c>
      <c r="N44" s="78">
        <f>N31+N43</f>
        <v/>
      </c>
    </row>
  </sheetData>
  <mergeCells count="3">
    <mergeCell ref="D2:L2"/>
    <mergeCell ref="A2:C2"/>
    <mergeCell ref="A1:N1"/>
  </mergeCells>
  <dataValidations count="1">
    <dataValidation sqref="C5:G17 C20:G37 J5:N17 J20:N29 J33:N42" showDropDown="0" showInputMessage="1" showErrorMessage="1" allowBlank="0" errorTitle="数据格式错误" error="请输入正确的数字格式，无数值应保持初始值0" type="custom">
      <formula1>ISNUMBER(C5)</formula1>
    </dataValidation>
  </dataValidations>
  <pageMargins left="0" right="0" top="0" bottom="0" header="0.5" footer="0.5"/>
  <pageSetup orientation="portrait" horizontalDpi="300" verticalDpi="3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36"/>
  <sheetViews>
    <sheetView zoomScale="130" zoomScaleNormal="130" workbookViewId="0">
      <selection activeCell="C8" sqref="C8"/>
    </sheetView>
  </sheetViews>
  <sheetFormatPr baseColWidth="8" defaultColWidth="0" defaultRowHeight="13" zeroHeight="1" outlineLevelCol="0"/>
  <cols>
    <col width="58.1796875" customWidth="1" style="70" min="1" max="1"/>
    <col width="4.7265625" customWidth="1" style="70" min="2" max="2"/>
    <col width="15.7265625" customWidth="1" style="79" min="3" max="6"/>
    <col hidden="1" width="13" customWidth="1" style="70" min="7" max="16384"/>
  </cols>
  <sheetData>
    <row r="1" ht="20.15" customHeight="1">
      <c r="A1" s="71" t="inlineStr">
        <is>
          <t>利润表</t>
        </is>
      </c>
    </row>
    <row r="2" ht="20.15" customHeight="1">
      <c r="A2" s="67">
        <f t="array" ref="A2">IF(SUM(--NOT(ISNUMBER(C4:F21))) + SUM(--NOT(ISNUMBER(C23:F24)))+ SUM(--NOT(ISNUMBER(C26:F26)))+ SUM(--NOT(ISNUMBER(C28:F29)))+ SUM(--NOT(ISNUMBER(C31:F32)))+ SUM(--NOT(ISNUMBER(C35:F36)))&gt; 0, "错误提示：请检查数据格式，保持所有可编辑区域为数字，无数值应保持初始值0.00", "")</f>
        <v/>
      </c>
      <c r="B2" s="68" t="n"/>
      <c r="C2" s="68" t="n"/>
      <c r="D2" s="68" t="n"/>
      <c r="E2" s="68" t="n"/>
      <c r="F2" s="33" t="inlineStr">
        <is>
          <t>单位：元</t>
        </is>
      </c>
      <c r="G2" s="9" t="n"/>
    </row>
    <row r="3" ht="20.15" customHeight="1">
      <c r="A3" s="12" t="inlineStr">
        <is>
          <t>项目</t>
        </is>
      </c>
      <c r="B3" s="12" t="inlineStr">
        <is>
          <t>行次</t>
        </is>
      </c>
      <c r="C3" s="13" t="inlineStr">
        <is>
          <t>2026年1-6月</t>
        </is>
      </c>
      <c r="D3" s="13" t="inlineStr">
        <is>
          <t>2025年</t>
        </is>
      </c>
      <c r="E3" s="13" t="inlineStr">
        <is>
          <t>2024年</t>
        </is>
      </c>
      <c r="F3" s="52" t="inlineStr">
        <is>
          <t>2023年</t>
        </is>
      </c>
    </row>
    <row r="4" ht="20.15" customHeight="1">
      <c r="A4" s="10" t="inlineStr">
        <is>
          <t>一、营业收入</t>
        </is>
      </c>
      <c r="B4" s="15" t="n">
        <v>1</v>
      </c>
      <c r="C4" s="74" t="n">
        <v>0</v>
      </c>
      <c r="D4" s="74" t="n">
        <v>0</v>
      </c>
      <c r="E4" s="74" t="n">
        <v>0</v>
      </c>
      <c r="F4" s="74" t="n">
        <v>0</v>
      </c>
    </row>
    <row r="5" ht="20.15" customHeight="1">
      <c r="A5" s="17" t="inlineStr">
        <is>
          <t>减：营业成本</t>
        </is>
      </c>
      <c r="B5" s="15" t="n">
        <v>2</v>
      </c>
      <c r="C5" s="74" t="n">
        <v>0</v>
      </c>
      <c r="D5" s="74" t="n">
        <v>0</v>
      </c>
      <c r="E5" s="74" t="n">
        <v>0</v>
      </c>
      <c r="F5" s="74" t="n">
        <v>0</v>
      </c>
    </row>
    <row r="6" ht="20.15" customHeight="1">
      <c r="A6" s="18" t="inlineStr">
        <is>
          <t>税金及附加</t>
        </is>
      </c>
      <c r="B6" s="15" t="n">
        <v>3</v>
      </c>
      <c r="C6" s="74" t="n">
        <v>0</v>
      </c>
      <c r="D6" s="74" t="n">
        <v>0</v>
      </c>
      <c r="E6" s="74" t="n">
        <v>0</v>
      </c>
      <c r="F6" s="74" t="n">
        <v>0</v>
      </c>
    </row>
    <row r="7" ht="20.15" customHeight="1">
      <c r="A7" s="18" t="inlineStr">
        <is>
          <t>销售费用</t>
        </is>
      </c>
      <c r="B7" s="15" t="n">
        <v>4</v>
      </c>
      <c r="C7" s="74" t="n">
        <v>0</v>
      </c>
      <c r="D7" s="74" t="n">
        <v>0</v>
      </c>
      <c r="E7" s="74" t="n">
        <v>0</v>
      </c>
      <c r="F7" s="74" t="n">
        <v>0</v>
      </c>
    </row>
    <row r="8" ht="20.15" customHeight="1">
      <c r="A8" s="18" t="inlineStr">
        <is>
          <t>管理费用</t>
        </is>
      </c>
      <c r="B8" s="15" t="n">
        <v>5</v>
      </c>
      <c r="C8" s="74" t="n">
        <v>0</v>
      </c>
      <c r="D8" s="74" t="n">
        <v>0</v>
      </c>
      <c r="E8" s="74" t="n">
        <v>0</v>
      </c>
      <c r="F8" s="74" t="n">
        <v>0</v>
      </c>
    </row>
    <row r="9" ht="20.15" customHeight="1">
      <c r="A9" s="18" t="inlineStr">
        <is>
          <t>研发费用</t>
        </is>
      </c>
      <c r="B9" s="15" t="n">
        <v>6</v>
      </c>
      <c r="C9" s="74" t="n">
        <v>0</v>
      </c>
      <c r="D9" s="74" t="n">
        <v>0</v>
      </c>
      <c r="E9" s="74" t="n">
        <v>0</v>
      </c>
      <c r="F9" s="74" t="n">
        <v>0</v>
      </c>
    </row>
    <row r="10" ht="20.15" customHeight="1">
      <c r="A10" s="18" t="inlineStr">
        <is>
          <t>财务费用</t>
        </is>
      </c>
      <c r="B10" s="15" t="n">
        <v>7</v>
      </c>
      <c r="C10" s="74" t="n">
        <v>0</v>
      </c>
      <c r="D10" s="74" t="n">
        <v>0</v>
      </c>
      <c r="E10" s="74" t="n">
        <v>0</v>
      </c>
      <c r="F10" s="74" t="n">
        <v>0</v>
      </c>
    </row>
    <row r="11" ht="20.15" customHeight="1">
      <c r="A11" s="22" t="inlineStr">
        <is>
          <t>其中：利息费用</t>
        </is>
      </c>
      <c r="B11" s="15" t="n">
        <v>8</v>
      </c>
      <c r="C11" s="74" t="n">
        <v>0</v>
      </c>
      <c r="D11" s="74" t="n">
        <v>0</v>
      </c>
      <c r="E11" s="74" t="n">
        <v>0</v>
      </c>
      <c r="F11" s="74" t="n">
        <v>0</v>
      </c>
    </row>
    <row r="12" ht="20.15" customHeight="1">
      <c r="A12" s="47" t="inlineStr">
        <is>
          <t>利息收入</t>
        </is>
      </c>
      <c r="B12" s="15" t="n">
        <v>9</v>
      </c>
      <c r="C12" s="74" t="n">
        <v>0</v>
      </c>
      <c r="D12" s="74" t="n">
        <v>0</v>
      </c>
      <c r="E12" s="74" t="n">
        <v>0</v>
      </c>
      <c r="F12" s="74" t="n">
        <v>0</v>
      </c>
    </row>
    <row r="13" ht="20.15" customHeight="1">
      <c r="A13" s="17" t="inlineStr">
        <is>
          <t>加：其他收益</t>
        </is>
      </c>
      <c r="B13" s="15" t="n">
        <v>10</v>
      </c>
      <c r="C13" s="74" t="n">
        <v>0</v>
      </c>
      <c r="D13" s="74" t="n">
        <v>0</v>
      </c>
      <c r="E13" s="74" t="n">
        <v>0</v>
      </c>
      <c r="F13" s="74" t="n">
        <v>0</v>
      </c>
    </row>
    <row r="14" ht="20.15" customHeight="1">
      <c r="A14" s="22" t="inlineStr">
        <is>
          <t>投资收益（损失以"-"填列）</t>
        </is>
      </c>
      <c r="B14" s="15" t="n">
        <v>11</v>
      </c>
      <c r="C14" s="74" t="n">
        <v>0</v>
      </c>
      <c r="D14" s="74" t="n">
        <v>0</v>
      </c>
      <c r="E14" s="74" t="n">
        <v>0</v>
      </c>
      <c r="F14" s="74" t="n">
        <v>0</v>
      </c>
    </row>
    <row r="15" ht="20.15" customHeight="1">
      <c r="A15" s="50" t="inlineStr">
        <is>
          <t>其中：对联营企业和合营企业的投资收益</t>
        </is>
      </c>
      <c r="B15" s="15" t="n">
        <v>12</v>
      </c>
      <c r="C15" s="74" t="n">
        <v>0</v>
      </c>
      <c r="D15" s="74" t="n">
        <v>0</v>
      </c>
      <c r="E15" s="74" t="n">
        <v>0</v>
      </c>
      <c r="F15" s="74" t="n">
        <v>0</v>
      </c>
    </row>
    <row r="16" ht="20.15" customHeight="1">
      <c r="A16" s="51" t="inlineStr">
        <is>
          <t>以摊余成本计量的金融资产终止确认收益（损失以"-"填列）</t>
        </is>
      </c>
      <c r="B16" s="15" t="n">
        <v>13</v>
      </c>
      <c r="C16" s="74" t="n">
        <v>0</v>
      </c>
      <c r="D16" s="74" t="n">
        <v>0</v>
      </c>
      <c r="E16" s="74" t="n">
        <v>0</v>
      </c>
      <c r="F16" s="74" t="n">
        <v>0</v>
      </c>
    </row>
    <row r="17" ht="20.15" customHeight="1">
      <c r="A17" s="49" t="inlineStr">
        <is>
          <t>净敞口套期收益（损失以"-"填列）</t>
        </is>
      </c>
      <c r="B17" s="15" t="n">
        <v>14</v>
      </c>
      <c r="C17" s="74" t="n">
        <v>0</v>
      </c>
      <c r="D17" s="74" t="n">
        <v>0</v>
      </c>
      <c r="E17" s="74" t="n">
        <v>0</v>
      </c>
      <c r="F17" s="74" t="n">
        <v>0</v>
      </c>
    </row>
    <row r="18" ht="20.15" customHeight="1">
      <c r="A18" s="22" t="inlineStr">
        <is>
          <t>公允价值变动收益（损失以"-"填列）</t>
        </is>
      </c>
      <c r="B18" s="15" t="n">
        <v>15</v>
      </c>
      <c r="C18" s="74" t="n">
        <v>0</v>
      </c>
      <c r="D18" s="74" t="n">
        <v>0</v>
      </c>
      <c r="E18" s="74" t="n">
        <v>0</v>
      </c>
      <c r="F18" s="74" t="n">
        <v>0</v>
      </c>
    </row>
    <row r="19" ht="20.15" customHeight="1">
      <c r="A19" s="22" t="inlineStr">
        <is>
          <t>信用减值损失（损失以"-"填列）</t>
        </is>
      </c>
      <c r="B19" s="15" t="n">
        <v>16</v>
      </c>
      <c r="C19" s="74" t="n">
        <v>0</v>
      </c>
      <c r="D19" s="74" t="n">
        <v>0</v>
      </c>
      <c r="E19" s="74" t="n">
        <v>0</v>
      </c>
      <c r="F19" s="74" t="n">
        <v>0</v>
      </c>
    </row>
    <row r="20" ht="20.15" customHeight="1">
      <c r="A20" s="22" t="inlineStr">
        <is>
          <t>资产减值损失（损失以"-"填列）</t>
        </is>
      </c>
      <c r="B20" s="15" t="n">
        <v>17</v>
      </c>
      <c r="C20" s="74" t="n">
        <v>0</v>
      </c>
      <c r="D20" s="74" t="n">
        <v>0</v>
      </c>
      <c r="E20" s="74" t="n">
        <v>0</v>
      </c>
      <c r="F20" s="74" t="n">
        <v>0</v>
      </c>
    </row>
    <row r="21" ht="20.15" customHeight="1">
      <c r="A21" s="22" t="inlineStr">
        <is>
          <t>资产处置收益（损失以"-"填列）</t>
        </is>
      </c>
      <c r="B21" s="15" t="n">
        <v>18</v>
      </c>
      <c r="C21" s="74" t="n">
        <v>0</v>
      </c>
      <c r="D21" s="74" t="n">
        <v>0</v>
      </c>
      <c r="E21" s="74" t="n">
        <v>0</v>
      </c>
      <c r="F21" s="74" t="n">
        <v>0</v>
      </c>
    </row>
    <row r="22" ht="20.15" customHeight="1">
      <c r="A22" s="10" t="inlineStr">
        <is>
          <t>二、营业利润（亏损以"－"号填列）</t>
        </is>
      </c>
      <c r="B22" s="15" t="n">
        <v>19</v>
      </c>
      <c r="C22" s="75">
        <f>C4-SUM(C5:C10)+SUM(C13:C14,C17:C21)</f>
        <v/>
      </c>
      <c r="D22" s="75">
        <f>D4-SUM(D5:D10)+SUM(D13:D14,D17:D21)</f>
        <v/>
      </c>
      <c r="E22" s="75">
        <f>E4-SUM(E5:E10)+SUM(E13:E14,E17:E21)</f>
        <v/>
      </c>
      <c r="F22" s="75">
        <f>F4-SUM(F5:F10)+SUM(F13:F14,F17:F21)</f>
        <v/>
      </c>
    </row>
    <row r="23" ht="20.15" customHeight="1">
      <c r="A23" s="17" t="inlineStr">
        <is>
          <t>加：营业外收入</t>
        </is>
      </c>
      <c r="B23" s="15" t="n">
        <v>20</v>
      </c>
      <c r="C23" s="74" t="n">
        <v>0</v>
      </c>
      <c r="D23" s="74" t="n">
        <v>0</v>
      </c>
      <c r="E23" s="74" t="n">
        <v>0</v>
      </c>
      <c r="F23" s="74" t="n">
        <v>0</v>
      </c>
    </row>
    <row r="24" ht="20.15" customHeight="1">
      <c r="A24" s="17" t="inlineStr">
        <is>
          <t>减：营业外支出</t>
        </is>
      </c>
      <c r="B24" s="15" t="n">
        <v>21</v>
      </c>
      <c r="C24" s="74" t="n">
        <v>0</v>
      </c>
      <c r="D24" s="74" t="n">
        <v>0</v>
      </c>
      <c r="E24" s="74" t="n">
        <v>0</v>
      </c>
      <c r="F24" s="74" t="n">
        <v>0</v>
      </c>
    </row>
    <row r="25" ht="20.15" customHeight="1">
      <c r="A25" s="10" t="inlineStr">
        <is>
          <t>三、利润总额（亏损总额以"－"号填列）</t>
        </is>
      </c>
      <c r="B25" s="15" t="n">
        <v>22</v>
      </c>
      <c r="C25" s="75">
        <f>C22+C23-C24</f>
        <v/>
      </c>
      <c r="D25" s="75">
        <f>D22+D23-D24</f>
        <v/>
      </c>
      <c r="E25" s="75">
        <f>E22+E23-E24</f>
        <v/>
      </c>
      <c r="F25" s="75">
        <f>F22+F23-F24</f>
        <v/>
      </c>
    </row>
    <row r="26" ht="20.15" customHeight="1">
      <c r="A26" s="17" t="inlineStr">
        <is>
          <t>减：所得税费用</t>
        </is>
      </c>
      <c r="B26" s="15" t="n">
        <v>23</v>
      </c>
      <c r="C26" s="74" t="n">
        <v>0</v>
      </c>
      <c r="D26" s="74" t="n">
        <v>0</v>
      </c>
      <c r="E26" s="74" t="n">
        <v>0</v>
      </c>
      <c r="F26" s="74" t="n">
        <v>0</v>
      </c>
    </row>
    <row r="27" ht="20.15" customHeight="1">
      <c r="A27" s="10" t="inlineStr">
        <is>
          <t>四、净利润（净亏损以"－"号填列）</t>
        </is>
      </c>
      <c r="B27" s="15" t="n">
        <v>24</v>
      </c>
      <c r="C27" s="75">
        <f>C25-C26</f>
        <v/>
      </c>
      <c r="D27" s="75">
        <f>D25-D26</f>
        <v/>
      </c>
      <c r="E27" s="75">
        <f>E25-E26</f>
        <v/>
      </c>
      <c r="F27" s="75">
        <f>F25-F26</f>
        <v/>
      </c>
    </row>
    <row r="28" ht="20.15" customHeight="1">
      <c r="A28" s="17" t="inlineStr">
        <is>
          <t>（一）持续经营净利润（净亏损以"－"号填列）</t>
        </is>
      </c>
      <c r="B28" s="15" t="n">
        <v>25</v>
      </c>
      <c r="C28" s="74" t="n">
        <v>0</v>
      </c>
      <c r="D28" s="74" t="n">
        <v>0</v>
      </c>
      <c r="E28" s="74" t="n">
        <v>0</v>
      </c>
      <c r="F28" s="74" t="n">
        <v>0</v>
      </c>
    </row>
    <row r="29" ht="20.15" customHeight="1">
      <c r="A29" s="17" t="inlineStr">
        <is>
          <t>（二）终止经营净利润（净亏损以"－"号填列）</t>
        </is>
      </c>
      <c r="B29" s="15" t="n">
        <v>26</v>
      </c>
      <c r="C29" s="74" t="n">
        <v>0</v>
      </c>
      <c r="D29" s="74" t="n">
        <v>0</v>
      </c>
      <c r="E29" s="74" t="n">
        <v>0</v>
      </c>
      <c r="F29" s="74" t="n">
        <v>0</v>
      </c>
    </row>
    <row r="30" ht="20.15" customHeight="1">
      <c r="A30" s="10" t="inlineStr">
        <is>
          <t>五、其他综合收益的税后净额</t>
        </is>
      </c>
      <c r="B30" s="15" t="n">
        <v>27</v>
      </c>
      <c r="C30" s="75">
        <f>C31+C32</f>
        <v/>
      </c>
      <c r="D30" s="75">
        <f>D31+D32</f>
        <v/>
      </c>
      <c r="E30" s="75">
        <f>E31+E32</f>
        <v/>
      </c>
      <c r="F30" s="75">
        <f>F31+F32</f>
        <v/>
      </c>
    </row>
    <row r="31" ht="20.15" customHeight="1">
      <c r="A31" s="17" t="inlineStr">
        <is>
          <t>（一）不能重分类进损益的其他综合收益</t>
        </is>
      </c>
      <c r="B31" s="15" t="n">
        <v>28</v>
      </c>
      <c r="C31" s="74" t="n">
        <v>0</v>
      </c>
      <c r="D31" s="74" t="n">
        <v>0</v>
      </c>
      <c r="E31" s="74" t="n">
        <v>0</v>
      </c>
      <c r="F31" s="74" t="n">
        <v>0</v>
      </c>
    </row>
    <row r="32" ht="20.15" customHeight="1">
      <c r="A32" s="17" t="inlineStr">
        <is>
          <t>（二）将重分类进损益的其他综合收益</t>
        </is>
      </c>
      <c r="B32" s="15" t="n">
        <v>29</v>
      </c>
      <c r="C32" s="74" t="n">
        <v>0</v>
      </c>
      <c r="D32" s="74" t="n">
        <v>0</v>
      </c>
      <c r="E32" s="74" t="n">
        <v>0</v>
      </c>
      <c r="F32" s="74" t="n">
        <v>0</v>
      </c>
    </row>
    <row r="33" ht="20.15" customHeight="1">
      <c r="A33" s="10" t="inlineStr">
        <is>
          <t>六、综合收益总额</t>
        </is>
      </c>
      <c r="B33" s="15" t="n">
        <v>30</v>
      </c>
      <c r="C33" s="75">
        <f>C27+C30</f>
        <v/>
      </c>
      <c r="D33" s="75">
        <f>D27+D30</f>
        <v/>
      </c>
      <c r="E33" s="75">
        <f>E27+E30</f>
        <v/>
      </c>
      <c r="F33" s="75">
        <f>F27+F30</f>
        <v/>
      </c>
    </row>
    <row r="34" ht="20.15" customHeight="1">
      <c r="A34" s="10" t="inlineStr">
        <is>
          <t>七、每股收益：</t>
        </is>
      </c>
      <c r="B34" s="15" t="n">
        <v>31</v>
      </c>
      <c r="C34" s="75" t="n"/>
      <c r="D34" s="75" t="n"/>
      <c r="E34" s="75" t="n"/>
      <c r="F34" s="75" t="n"/>
    </row>
    <row r="35" ht="20.15" customHeight="1">
      <c r="A35" s="17" t="inlineStr">
        <is>
          <t>（一）基本每股收益</t>
        </is>
      </c>
      <c r="B35" s="15" t="n">
        <v>32</v>
      </c>
      <c r="C35" s="74" t="n">
        <v>0</v>
      </c>
      <c r="D35" s="74" t="n">
        <v>0</v>
      </c>
      <c r="E35" s="74" t="n">
        <v>0</v>
      </c>
      <c r="F35" s="74" t="n">
        <v>0</v>
      </c>
    </row>
    <row r="36" ht="20.15" customHeight="1">
      <c r="A36" s="17" t="inlineStr">
        <is>
          <t>（二）稀释每股收益</t>
        </is>
      </c>
      <c r="B36" s="15" t="n">
        <v>33</v>
      </c>
      <c r="C36" s="74" t="n">
        <v>0</v>
      </c>
      <c r="D36" s="74" t="n">
        <v>0</v>
      </c>
      <c r="E36" s="74" t="n">
        <v>0</v>
      </c>
      <c r="F36" s="74" t="n">
        <v>0</v>
      </c>
    </row>
  </sheetData>
  <mergeCells count="2">
    <mergeCell ref="A2:E2"/>
    <mergeCell ref="A1:F1"/>
  </mergeCells>
  <dataValidations count="1">
    <dataValidation sqref="C4:F21 C23:F24 C26:F26 C28:F29 C31:F32 C35:F36" showDropDown="0" showInputMessage="1" showErrorMessage="1" allowBlank="0" errorTitle="数据格式错误" error="请输入正确的数字格式，无数值应保持初始值0" type="custom">
      <formula1>ISNUMBER(C4)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IW41"/>
  <sheetViews>
    <sheetView tabSelected="1" topLeftCell="A25" workbookViewId="0">
      <selection activeCell="A1" sqref="A1:F1"/>
    </sheetView>
  </sheetViews>
  <sheetFormatPr baseColWidth="8" defaultColWidth="0" defaultRowHeight="13" zeroHeight="1" outlineLevelCol="0"/>
  <cols>
    <col width="51" customWidth="1" style="70" min="1" max="1"/>
    <col width="4.7265625" customWidth="1" style="70" min="2" max="2"/>
    <col width="15.7265625" customWidth="1" style="70" min="3" max="6"/>
    <col hidden="1" width="13" customWidth="1" style="70" min="7" max="16384"/>
  </cols>
  <sheetData>
    <row r="1" ht="20.15" customHeight="1">
      <c r="A1" s="71" t="inlineStr">
        <is>
          <t>现金流量表</t>
        </is>
      </c>
    </row>
    <row r="2" ht="20.15" customHeight="1">
      <c r="A2" s="67">
        <f t="array" ref="A2">IF(SUM(--NOT(ISNUMBER(C5:F7))) + SUM(--NOT(ISNUMBER(C9:F12)))+ SUM(--NOT(ISNUMBER(C16:F20)))+ SUM(--NOT(ISNUMBER(C22:F25)))+ SUM(--NOT(ISNUMBER(C29:F31)))+ SUM(--NOT(ISNUMBER(C33:F35)))+ SUM(--NOT(ISNUMBER(C38:F38))) +SUM(--NOT(ISNUMBER(C40))) &gt; 0, "错误提示：请检查数据格式，保持所有可编辑区域为数字，无数值应保持初始值0.00", "")</f>
        <v/>
      </c>
      <c r="B2" s="68" t="n"/>
      <c r="C2" s="68" t="n"/>
      <c r="D2" s="68" t="n"/>
      <c r="E2" s="68" t="n"/>
      <c r="F2" s="33" t="inlineStr">
        <is>
          <t>单位：元</t>
        </is>
      </c>
    </row>
    <row r="3" ht="20.15" customHeight="1">
      <c r="A3" s="12" t="inlineStr">
        <is>
          <t>项目</t>
        </is>
      </c>
      <c r="B3" s="12" t="inlineStr">
        <is>
          <t>行次</t>
        </is>
      </c>
      <c r="C3" s="13" t="inlineStr">
        <is>
          <t>2026年1-6月</t>
        </is>
      </c>
      <c r="D3" s="13" t="inlineStr">
        <is>
          <t>2025年</t>
        </is>
      </c>
      <c r="E3" s="13" t="inlineStr">
        <is>
          <t>2024年</t>
        </is>
      </c>
      <c r="F3" s="52" t="inlineStr">
        <is>
          <t>2023年</t>
        </is>
      </c>
    </row>
    <row r="4" ht="20.15" customHeight="1">
      <c r="A4" s="14" t="inlineStr">
        <is>
          <t>一、经营活动产生的现金流量:</t>
        </is>
      </c>
      <c r="B4" s="15" t="n"/>
      <c r="C4" s="16" t="n"/>
      <c r="D4" s="16" t="n"/>
      <c r="E4" s="16" t="n"/>
      <c r="F4" s="16" t="n"/>
    </row>
    <row r="5" ht="20.15" customHeight="1">
      <c r="A5" s="17" t="inlineStr">
        <is>
          <t>销售商品、提供劳务收到的现金</t>
        </is>
      </c>
      <c r="B5" s="15" t="n">
        <v>1</v>
      </c>
      <c r="C5" s="74" t="n">
        <v>0</v>
      </c>
      <c r="D5" s="74" t="n">
        <v>0</v>
      </c>
      <c r="E5" s="74" t="n">
        <v>0</v>
      </c>
      <c r="F5" s="74" t="n">
        <v>0</v>
      </c>
    </row>
    <row r="6" ht="20.15" customHeight="1">
      <c r="A6" s="17" t="inlineStr">
        <is>
          <t>收到的税费返还</t>
        </is>
      </c>
      <c r="B6" s="15" t="n">
        <v>2</v>
      </c>
      <c r="C6" s="74" t="n">
        <v>0</v>
      </c>
      <c r="D6" s="74" t="n">
        <v>0</v>
      </c>
      <c r="E6" s="74" t="n">
        <v>0</v>
      </c>
      <c r="F6" s="74" t="n">
        <v>0</v>
      </c>
    </row>
    <row r="7" ht="20.15" customHeight="1">
      <c r="A7" s="20" t="inlineStr">
        <is>
          <t>收到其他与经营活动有关的现金</t>
        </is>
      </c>
      <c r="B7" s="15" t="n">
        <v>3</v>
      </c>
      <c r="C7" s="74" t="n">
        <v>0</v>
      </c>
      <c r="D7" s="74" t="n">
        <v>0</v>
      </c>
      <c r="E7" s="74" t="n">
        <v>0</v>
      </c>
      <c r="F7" s="74" t="n">
        <v>0</v>
      </c>
    </row>
    <row r="8" ht="20.15" customHeight="1">
      <c r="A8" s="18" t="inlineStr">
        <is>
          <t>经营活动现金流入小计</t>
        </is>
      </c>
      <c r="B8" s="15" t="n">
        <v>4</v>
      </c>
      <c r="C8" s="75">
        <f>SUM(C5:C7)</f>
        <v/>
      </c>
      <c r="D8" s="75">
        <f>SUM(D5:D7)</f>
        <v/>
      </c>
      <c r="E8" s="75">
        <f>SUM(E5:E7)</f>
        <v/>
      </c>
      <c r="F8" s="75">
        <f>SUM(F5:F7)</f>
        <v/>
      </c>
    </row>
    <row r="9" ht="20.15" customHeight="1">
      <c r="A9" s="17" t="inlineStr">
        <is>
          <t>购买商品、接受劳务支付的现金</t>
        </is>
      </c>
      <c r="B9" s="15" t="n">
        <v>5</v>
      </c>
      <c r="C9" s="74" t="n">
        <v>0</v>
      </c>
      <c r="D9" s="74" t="n">
        <v>0</v>
      </c>
      <c r="E9" s="74" t="n">
        <v>0</v>
      </c>
      <c r="F9" s="74" t="n">
        <v>0</v>
      </c>
    </row>
    <row r="10" ht="20.15" customHeight="1">
      <c r="A10" s="17" t="inlineStr">
        <is>
          <t>支付给职工以及为职工支付的现金</t>
        </is>
      </c>
      <c r="B10" s="15" t="n">
        <v>6</v>
      </c>
      <c r="C10" s="74" t="n">
        <v>0</v>
      </c>
      <c r="D10" s="74" t="n">
        <v>0</v>
      </c>
      <c r="E10" s="74" t="n">
        <v>0</v>
      </c>
      <c r="F10" s="74" t="n">
        <v>0</v>
      </c>
    </row>
    <row r="11" ht="20.15" customHeight="1">
      <c r="A11" s="17" t="inlineStr">
        <is>
          <t>支付的各项税费</t>
        </is>
      </c>
      <c r="B11" s="15" t="n">
        <v>7</v>
      </c>
      <c r="C11" s="74" t="n">
        <v>0</v>
      </c>
      <c r="D11" s="74" t="n">
        <v>0</v>
      </c>
      <c r="E11" s="74" t="n">
        <v>0</v>
      </c>
      <c r="F11" s="74" t="n">
        <v>0</v>
      </c>
    </row>
    <row r="12" ht="20.15" customHeight="1">
      <c r="A12" s="17" t="inlineStr">
        <is>
          <t>支付其他与经营活动有关的现金</t>
        </is>
      </c>
      <c r="B12" s="15" t="n">
        <v>8</v>
      </c>
      <c r="C12" s="74" t="n">
        <v>0</v>
      </c>
      <c r="D12" s="74" t="n">
        <v>0</v>
      </c>
      <c r="E12" s="74" t="n">
        <v>0</v>
      </c>
      <c r="F12" s="74" t="n">
        <v>0</v>
      </c>
    </row>
    <row r="13" ht="20.15" customHeight="1">
      <c r="A13" s="19" t="inlineStr">
        <is>
          <t>经营活动现金流出小计</t>
        </is>
      </c>
      <c r="B13" s="15" t="n">
        <v>9</v>
      </c>
      <c r="C13" s="75">
        <f>SUM(C9:C12)</f>
        <v/>
      </c>
      <c r="D13" s="75">
        <f>SUM(D9:D12)</f>
        <v/>
      </c>
      <c r="E13" s="75">
        <f>SUM(E9:E12)</f>
        <v/>
      </c>
      <c r="F13" s="75">
        <f>SUM(F9:F12)</f>
        <v/>
      </c>
    </row>
    <row r="14" ht="20.15" customHeight="1">
      <c r="A14" s="21" t="inlineStr">
        <is>
          <t>经营活动产生的现金流量净额</t>
        </is>
      </c>
      <c r="B14" s="15" t="n">
        <v>10</v>
      </c>
      <c r="C14" s="75">
        <f>C8-C13</f>
        <v/>
      </c>
      <c r="D14" s="75">
        <f>D8-D13</f>
        <v/>
      </c>
      <c r="E14" s="75">
        <f>E8-E13</f>
        <v/>
      </c>
      <c r="F14" s="75">
        <f>F8-F13</f>
        <v/>
      </c>
    </row>
    <row r="15" ht="20.15" customHeight="1">
      <c r="A15" s="14" t="inlineStr">
        <is>
          <t>二、投资活动产生的现金流量</t>
        </is>
      </c>
      <c r="B15" s="15" t="n"/>
      <c r="C15" s="76" t="n"/>
      <c r="D15" s="76" t="n"/>
      <c r="E15" s="76" t="n"/>
      <c r="F15" s="76" t="n"/>
    </row>
    <row r="16" ht="20.15" customHeight="1">
      <c r="A16" s="17" t="inlineStr">
        <is>
          <t>收回投资收到的现金</t>
        </is>
      </c>
      <c r="B16" s="15" t="n">
        <v>11</v>
      </c>
      <c r="C16" s="74" t="n">
        <v>0</v>
      </c>
      <c r="D16" s="74" t="n">
        <v>0</v>
      </c>
      <c r="E16" s="74" t="n">
        <v>0</v>
      </c>
      <c r="F16" s="74" t="n">
        <v>0</v>
      </c>
    </row>
    <row r="17" ht="20.15" customHeight="1">
      <c r="A17" s="17" t="inlineStr">
        <is>
          <t>取得投资收益收到的现金</t>
        </is>
      </c>
      <c r="B17" s="15" t="n">
        <v>12</v>
      </c>
      <c r="C17" s="74" t="n">
        <v>0</v>
      </c>
      <c r="D17" s="74" t="n">
        <v>0</v>
      </c>
      <c r="E17" s="74" t="n">
        <v>0</v>
      </c>
      <c r="F17" s="74" t="n">
        <v>0</v>
      </c>
    </row>
    <row r="18" ht="20.15" customHeight="1">
      <c r="A18" s="17" t="inlineStr">
        <is>
          <t>处置固定资产、无形资产和其他长期资产收回的现金净额</t>
        </is>
      </c>
      <c r="B18" s="15" t="n">
        <v>13</v>
      </c>
      <c r="C18" s="74" t="n">
        <v>0</v>
      </c>
      <c r="D18" s="74" t="n">
        <v>0</v>
      </c>
      <c r="E18" s="74" t="n">
        <v>0</v>
      </c>
      <c r="F18" s="74" t="n">
        <v>0</v>
      </c>
    </row>
    <row r="19" ht="20.15" customHeight="1">
      <c r="A19" s="17" t="inlineStr">
        <is>
          <t>处置子公司及其他营业单位收到的现金净额</t>
        </is>
      </c>
      <c r="B19" s="15" t="n">
        <v>14</v>
      </c>
      <c r="C19" s="74" t="n">
        <v>0</v>
      </c>
      <c r="D19" s="74" t="n">
        <v>0</v>
      </c>
      <c r="E19" s="74" t="n">
        <v>0</v>
      </c>
      <c r="F19" s="74" t="n">
        <v>0</v>
      </c>
    </row>
    <row r="20" ht="20.15" customHeight="1">
      <c r="A20" s="17" t="inlineStr">
        <is>
          <t>收到其他与投资活动有关的现金</t>
        </is>
      </c>
      <c r="B20" s="15" t="n">
        <v>15</v>
      </c>
      <c r="C20" s="74" t="n">
        <v>0</v>
      </c>
      <c r="D20" s="74" t="n">
        <v>0</v>
      </c>
      <c r="E20" s="74" t="n">
        <v>0</v>
      </c>
      <c r="F20" s="74" t="n">
        <v>0</v>
      </c>
    </row>
    <row r="21" ht="20.15" customHeight="1">
      <c r="A21" s="18" t="inlineStr">
        <is>
          <t>投资活动现金流入小计</t>
        </is>
      </c>
      <c r="B21" s="15" t="n">
        <v>16</v>
      </c>
      <c r="C21" s="75">
        <f>SUM(C16:C20)</f>
        <v/>
      </c>
      <c r="D21" s="75">
        <f>SUM(D16:D20)</f>
        <v/>
      </c>
      <c r="E21" s="75">
        <f>SUM(E16:E20)</f>
        <v/>
      </c>
      <c r="F21" s="75">
        <f>SUM(F16:F20)</f>
        <v/>
      </c>
    </row>
    <row r="22" ht="20.15" customHeight="1">
      <c r="A22" s="17" t="inlineStr">
        <is>
          <t>购建固定资产、无形资产和其他长期资产所支付的现金</t>
        </is>
      </c>
      <c r="B22" s="15" t="n">
        <v>17</v>
      </c>
      <c r="C22" s="74" t="n">
        <v>0</v>
      </c>
      <c r="D22" s="74" t="n">
        <v>0</v>
      </c>
      <c r="E22" s="74" t="n">
        <v>0</v>
      </c>
      <c r="F22" s="74" t="n">
        <v>0</v>
      </c>
    </row>
    <row r="23" ht="20.15" customHeight="1">
      <c r="A23" s="17" t="inlineStr">
        <is>
          <t>投资支付的现金</t>
        </is>
      </c>
      <c r="B23" s="15" t="n">
        <v>18</v>
      </c>
      <c r="C23" s="74" t="n">
        <v>0</v>
      </c>
      <c r="D23" s="74" t="n">
        <v>0</v>
      </c>
      <c r="E23" s="74" t="n">
        <v>0</v>
      </c>
      <c r="F23" s="74" t="n">
        <v>0</v>
      </c>
    </row>
    <row r="24" ht="20.15" customHeight="1">
      <c r="A24" s="17" t="inlineStr">
        <is>
          <t>取得子公司及其他营业单位支付的现金净额</t>
        </is>
      </c>
      <c r="B24" s="15" t="n">
        <v>19</v>
      </c>
      <c r="C24" s="74" t="n">
        <v>0</v>
      </c>
      <c r="D24" s="74" t="n">
        <v>0</v>
      </c>
      <c r="E24" s="74" t="n">
        <v>0</v>
      </c>
      <c r="F24" s="74" t="n">
        <v>0</v>
      </c>
    </row>
    <row r="25" ht="20.15" customHeight="1">
      <c r="A25" s="17" t="inlineStr">
        <is>
          <t>支付的其他与投资活动有关的现金</t>
        </is>
      </c>
      <c r="B25" s="15" t="n">
        <v>20</v>
      </c>
      <c r="C25" s="74" t="n">
        <v>0</v>
      </c>
      <c r="D25" s="74" t="n">
        <v>0</v>
      </c>
      <c r="E25" s="74" t="n">
        <v>0</v>
      </c>
      <c r="F25" s="74" t="n">
        <v>0</v>
      </c>
    </row>
    <row r="26" ht="20.15" customHeight="1">
      <c r="A26" s="18" t="inlineStr">
        <is>
          <t>投资活动现金流出小计</t>
        </is>
      </c>
      <c r="B26" s="15" t="n">
        <v>21</v>
      </c>
      <c r="C26" s="75">
        <f>SUM(C22:C25)</f>
        <v/>
      </c>
      <c r="D26" s="75">
        <f>SUM(D22:D25)</f>
        <v/>
      </c>
      <c r="E26" s="75">
        <f>SUM(E22:E25)</f>
        <v/>
      </c>
      <c r="F26" s="75">
        <f>SUM(F22:F25)</f>
        <v/>
      </c>
    </row>
    <row r="27" ht="20.15" customHeight="1">
      <c r="A27" s="22" t="inlineStr">
        <is>
          <t>投资活动产生的现金流量净额</t>
        </is>
      </c>
      <c r="B27" s="15" t="n">
        <v>22</v>
      </c>
      <c r="C27" s="75">
        <f>C21-C26</f>
        <v/>
      </c>
      <c r="D27" s="75">
        <f>D21-D26</f>
        <v/>
      </c>
      <c r="E27" s="75">
        <f>E21-E26</f>
        <v/>
      </c>
      <c r="F27" s="75">
        <f>F21-F26</f>
        <v/>
      </c>
    </row>
    <row r="28" ht="20.15" customHeight="1">
      <c r="A28" s="14" t="inlineStr">
        <is>
          <t>三、筹资活动产生的现金流量</t>
        </is>
      </c>
      <c r="B28" s="15" t="n"/>
      <c r="C28" s="76" t="n"/>
      <c r="D28" s="76" t="n"/>
      <c r="E28" s="76" t="n"/>
      <c r="F28" s="76" t="n"/>
    </row>
    <row r="29" ht="20.15" customHeight="1">
      <c r="A29" s="17" t="inlineStr">
        <is>
          <t>吸收投资收到的现金</t>
        </is>
      </c>
      <c r="B29" s="15" t="n">
        <v>23</v>
      </c>
      <c r="C29" s="74" t="n">
        <v>100</v>
      </c>
      <c r="D29" s="74" t="n">
        <v>0</v>
      </c>
      <c r="E29" s="74" t="n">
        <v>0</v>
      </c>
      <c r="F29" s="74" t="n">
        <v>0</v>
      </c>
    </row>
    <row r="30" ht="20.15" customHeight="1">
      <c r="A30" s="17" t="inlineStr">
        <is>
          <t>取得借款收到的现金</t>
        </is>
      </c>
      <c r="B30" s="15" t="n">
        <v>24</v>
      </c>
      <c r="C30" s="74" t="n">
        <v>0</v>
      </c>
      <c r="D30" s="74" t="n">
        <v>0</v>
      </c>
      <c r="E30" s="74" t="n">
        <v>0</v>
      </c>
      <c r="F30" s="74" t="n">
        <v>0</v>
      </c>
    </row>
    <row r="31" ht="20.15" customHeight="1">
      <c r="A31" s="17" t="inlineStr">
        <is>
          <t>收到其他与筹资活动有关的现金</t>
        </is>
      </c>
      <c r="B31" s="15" t="n">
        <v>25</v>
      </c>
      <c r="C31" s="74" t="n">
        <v>0</v>
      </c>
      <c r="D31" s="74" t="n">
        <v>0</v>
      </c>
      <c r="E31" s="74" t="n">
        <v>0</v>
      </c>
      <c r="F31" s="74" t="n">
        <v>0</v>
      </c>
    </row>
    <row r="32" ht="20.15" customHeight="1">
      <c r="A32" s="18" t="inlineStr">
        <is>
          <t>筹资活动现金流入小计</t>
        </is>
      </c>
      <c r="B32" s="15" t="n">
        <v>26</v>
      </c>
      <c r="C32" s="75">
        <f>SUM(C29:C31)</f>
        <v/>
      </c>
      <c r="D32" s="75">
        <f>SUM(D29:D31)</f>
        <v/>
      </c>
      <c r="E32" s="75">
        <f>SUM(E29:E31)</f>
        <v/>
      </c>
      <c r="F32" s="75">
        <f>SUM(F29:F31)</f>
        <v/>
      </c>
      <c r="G32" s="16">
        <f>SUM(G29:G31)</f>
        <v/>
      </c>
      <c r="H32" s="16">
        <f>SUM(H29:H31)</f>
        <v/>
      </c>
      <c r="I32" s="16">
        <f>SUM(I29:I31)</f>
        <v/>
      </c>
      <c r="J32" s="16">
        <f>SUM(J29:J31)</f>
        <v/>
      </c>
      <c r="K32" s="16">
        <f>SUM(K29:K31)</f>
        <v/>
      </c>
      <c r="L32" s="16">
        <f>SUM(L29:L31)</f>
        <v/>
      </c>
      <c r="M32" s="16">
        <f>SUM(M29:M31)</f>
        <v/>
      </c>
      <c r="N32" s="16">
        <f>SUM(N29:N31)</f>
        <v/>
      </c>
      <c r="O32" s="16">
        <f>SUM(O29:O31)</f>
        <v/>
      </c>
      <c r="P32" s="16">
        <f>SUM(P29:P31)</f>
        <v/>
      </c>
      <c r="Q32" s="16">
        <f>SUM(Q29:Q31)</f>
        <v/>
      </c>
      <c r="R32" s="16">
        <f>SUM(R29:R31)</f>
        <v/>
      </c>
      <c r="S32" s="16">
        <f>SUM(S29:S31)</f>
        <v/>
      </c>
      <c r="T32" s="16">
        <f>SUM(T29:T31)</f>
        <v/>
      </c>
      <c r="U32" s="16">
        <f>SUM(U29:U31)</f>
        <v/>
      </c>
      <c r="V32" s="16">
        <f>SUM(V29:V31)</f>
        <v/>
      </c>
      <c r="W32" s="16">
        <f>SUM(W29:W31)</f>
        <v/>
      </c>
      <c r="X32" s="16">
        <f>SUM(X29:X31)</f>
        <v/>
      </c>
      <c r="Y32" s="16">
        <f>SUM(Y29:Y31)</f>
        <v/>
      </c>
      <c r="Z32" s="16">
        <f>SUM(Z29:Z31)</f>
        <v/>
      </c>
      <c r="AA32" s="16">
        <f>SUM(AA29:AA31)</f>
        <v/>
      </c>
      <c r="AB32" s="16">
        <f>SUM(AB29:AB31)</f>
        <v/>
      </c>
      <c r="AC32" s="16">
        <f>SUM(AC29:AC31)</f>
        <v/>
      </c>
      <c r="AD32" s="16">
        <f>SUM(AD29:AD31)</f>
        <v/>
      </c>
      <c r="AE32" s="16">
        <f>SUM(AE29:AE31)</f>
        <v/>
      </c>
      <c r="AF32" s="16">
        <f>SUM(AF29:AF31)</f>
        <v/>
      </c>
      <c r="AG32" s="16">
        <f>SUM(AG29:AG31)</f>
        <v/>
      </c>
      <c r="AH32" s="16">
        <f>SUM(AH29:AH31)</f>
        <v/>
      </c>
      <c r="AI32" s="16">
        <f>SUM(AI29:AI31)</f>
        <v/>
      </c>
      <c r="AJ32" s="16">
        <f>SUM(AJ29:AJ31)</f>
        <v/>
      </c>
      <c r="AK32" s="16">
        <f>SUM(AK29:AK31)</f>
        <v/>
      </c>
      <c r="AL32" s="16">
        <f>SUM(AL29:AL31)</f>
        <v/>
      </c>
      <c r="AM32" s="16">
        <f>SUM(AM29:AM31)</f>
        <v/>
      </c>
      <c r="AN32" s="16">
        <f>SUM(AN29:AN31)</f>
        <v/>
      </c>
      <c r="AO32" s="16">
        <f>SUM(AO29:AO31)</f>
        <v/>
      </c>
      <c r="AP32" s="16">
        <f>SUM(AP29:AP31)</f>
        <v/>
      </c>
      <c r="AQ32" s="16">
        <f>SUM(AQ29:AQ31)</f>
        <v/>
      </c>
      <c r="AR32" s="16">
        <f>SUM(AR29:AR31)</f>
        <v/>
      </c>
      <c r="AS32" s="16">
        <f>SUM(AS29:AS31)</f>
        <v/>
      </c>
      <c r="AT32" s="16">
        <f>SUM(AT29:AT31)</f>
        <v/>
      </c>
      <c r="AU32" s="16">
        <f>SUM(AU29:AU31)</f>
        <v/>
      </c>
      <c r="AV32" s="16">
        <f>SUM(AV29:AV31)</f>
        <v/>
      </c>
      <c r="AW32" s="16">
        <f>SUM(AW29:AW31)</f>
        <v/>
      </c>
      <c r="AX32" s="16">
        <f>SUM(AX29:AX31)</f>
        <v/>
      </c>
      <c r="AY32" s="16">
        <f>SUM(AY29:AY31)</f>
        <v/>
      </c>
      <c r="AZ32" s="16">
        <f>SUM(AZ29:AZ31)</f>
        <v/>
      </c>
      <c r="BA32" s="16">
        <f>SUM(BA29:BA31)</f>
        <v/>
      </c>
      <c r="BB32" s="16">
        <f>SUM(BB29:BB31)</f>
        <v/>
      </c>
      <c r="BC32" s="16">
        <f>SUM(BC29:BC31)</f>
        <v/>
      </c>
      <c r="BD32" s="16">
        <f>SUM(BD29:BD31)</f>
        <v/>
      </c>
      <c r="BE32" s="16">
        <f>SUM(BE29:BE31)</f>
        <v/>
      </c>
      <c r="BF32" s="16">
        <f>SUM(BF29:BF31)</f>
        <v/>
      </c>
      <c r="BG32" s="16">
        <f>SUM(BG29:BG31)</f>
        <v/>
      </c>
      <c r="BH32" s="16">
        <f>SUM(BH29:BH31)</f>
        <v/>
      </c>
      <c r="BI32" s="16">
        <f>SUM(BI29:BI31)</f>
        <v/>
      </c>
      <c r="BJ32" s="16">
        <f>SUM(BJ29:BJ31)</f>
        <v/>
      </c>
      <c r="BK32" s="16">
        <f>SUM(BK29:BK31)</f>
        <v/>
      </c>
      <c r="BL32" s="16">
        <f>SUM(BL29:BL31)</f>
        <v/>
      </c>
      <c r="BM32" s="16">
        <f>SUM(BM29:BM31)</f>
        <v/>
      </c>
      <c r="BN32" s="16">
        <f>SUM(BN29:BN31)</f>
        <v/>
      </c>
      <c r="BO32" s="16">
        <f>SUM(BO29:BO31)</f>
        <v/>
      </c>
      <c r="BP32" s="16">
        <f>SUM(BP29:BP31)</f>
        <v/>
      </c>
      <c r="BQ32" s="16">
        <f>SUM(BQ29:BQ31)</f>
        <v/>
      </c>
      <c r="BR32" s="16">
        <f>SUM(BR29:BR31)</f>
        <v/>
      </c>
      <c r="BS32" s="16">
        <f>SUM(BS29:BS31)</f>
        <v/>
      </c>
      <c r="BT32" s="16">
        <f>SUM(BT29:BT31)</f>
        <v/>
      </c>
      <c r="BU32" s="16">
        <f>SUM(BU29:BU31)</f>
        <v/>
      </c>
      <c r="BV32" s="16">
        <f>SUM(BV29:BV31)</f>
        <v/>
      </c>
      <c r="BW32" s="16">
        <f>SUM(BW29:BW31)</f>
        <v/>
      </c>
      <c r="BX32" s="16">
        <f>SUM(BX29:BX31)</f>
        <v/>
      </c>
      <c r="BY32" s="16">
        <f>SUM(BY29:BY31)</f>
        <v/>
      </c>
      <c r="BZ32" s="16">
        <f>SUM(BZ29:BZ31)</f>
        <v/>
      </c>
      <c r="CA32" s="16">
        <f>SUM(CA29:CA31)</f>
        <v/>
      </c>
      <c r="CB32" s="16">
        <f>SUM(CB29:CB31)</f>
        <v/>
      </c>
      <c r="CC32" s="16">
        <f>SUM(CC29:CC31)</f>
        <v/>
      </c>
      <c r="CD32" s="16">
        <f>SUM(CD29:CD31)</f>
        <v/>
      </c>
      <c r="CE32" s="16">
        <f>SUM(CE29:CE31)</f>
        <v/>
      </c>
      <c r="CF32" s="16">
        <f>SUM(CF29:CF31)</f>
        <v/>
      </c>
      <c r="CG32" s="16">
        <f>SUM(CG29:CG31)</f>
        <v/>
      </c>
      <c r="CH32" s="16">
        <f>SUM(CH29:CH31)</f>
        <v/>
      </c>
      <c r="CI32" s="16">
        <f>SUM(CI29:CI31)</f>
        <v/>
      </c>
      <c r="CJ32" s="16">
        <f>SUM(CJ29:CJ31)</f>
        <v/>
      </c>
      <c r="CK32" s="16">
        <f>SUM(CK29:CK31)</f>
        <v/>
      </c>
      <c r="CL32" s="16">
        <f>SUM(CL29:CL31)</f>
        <v/>
      </c>
      <c r="CM32" s="16">
        <f>SUM(CM29:CM31)</f>
        <v/>
      </c>
      <c r="CN32" s="16">
        <f>SUM(CN29:CN31)</f>
        <v/>
      </c>
      <c r="CO32" s="16">
        <f>SUM(CO29:CO31)</f>
        <v/>
      </c>
      <c r="CP32" s="16">
        <f>SUM(CP29:CP31)</f>
        <v/>
      </c>
      <c r="CQ32" s="16">
        <f>SUM(CQ29:CQ31)</f>
        <v/>
      </c>
      <c r="CR32" s="16">
        <f>SUM(CR29:CR31)</f>
        <v/>
      </c>
      <c r="CS32" s="16">
        <f>SUM(CS29:CS31)</f>
        <v/>
      </c>
      <c r="CT32" s="16">
        <f>SUM(CT29:CT31)</f>
        <v/>
      </c>
      <c r="CU32" s="16">
        <f>SUM(CU29:CU31)</f>
        <v/>
      </c>
      <c r="CV32" s="16">
        <f>SUM(CV29:CV31)</f>
        <v/>
      </c>
      <c r="CW32" s="16">
        <f>SUM(CW29:CW31)</f>
        <v/>
      </c>
      <c r="CX32" s="16">
        <f>SUM(CX29:CX31)</f>
        <v/>
      </c>
      <c r="CY32" s="16">
        <f>SUM(CY29:CY31)</f>
        <v/>
      </c>
      <c r="CZ32" s="16">
        <f>SUM(CZ29:CZ31)</f>
        <v/>
      </c>
      <c r="DA32" s="16">
        <f>SUM(DA29:DA31)</f>
        <v/>
      </c>
      <c r="DB32" s="16">
        <f>SUM(DB29:DB31)</f>
        <v/>
      </c>
      <c r="DC32" s="16">
        <f>SUM(DC29:DC31)</f>
        <v/>
      </c>
      <c r="DD32" s="16">
        <f>SUM(DD29:DD31)</f>
        <v/>
      </c>
      <c r="DE32" s="16">
        <f>SUM(DE29:DE31)</f>
        <v/>
      </c>
      <c r="DF32" s="16">
        <f>SUM(DF29:DF31)</f>
        <v/>
      </c>
      <c r="DG32" s="16">
        <f>SUM(DG29:DG31)</f>
        <v/>
      </c>
      <c r="DH32" s="16">
        <f>SUM(DH29:DH31)</f>
        <v/>
      </c>
      <c r="DI32" s="16">
        <f>SUM(DI29:DI31)</f>
        <v/>
      </c>
      <c r="DJ32" s="16">
        <f>SUM(DJ29:DJ31)</f>
        <v/>
      </c>
      <c r="DK32" s="16">
        <f>SUM(DK29:DK31)</f>
        <v/>
      </c>
      <c r="DL32" s="16">
        <f>SUM(DL29:DL31)</f>
        <v/>
      </c>
      <c r="DM32" s="16">
        <f>SUM(DM29:DM31)</f>
        <v/>
      </c>
      <c r="DN32" s="16">
        <f>SUM(DN29:DN31)</f>
        <v/>
      </c>
      <c r="DO32" s="16">
        <f>SUM(DO29:DO31)</f>
        <v/>
      </c>
      <c r="DP32" s="16">
        <f>SUM(DP29:DP31)</f>
        <v/>
      </c>
      <c r="DQ32" s="16">
        <f>SUM(DQ29:DQ31)</f>
        <v/>
      </c>
      <c r="DR32" s="16">
        <f>SUM(DR29:DR31)</f>
        <v/>
      </c>
      <c r="DS32" s="16">
        <f>SUM(DS29:DS31)</f>
        <v/>
      </c>
      <c r="DT32" s="16">
        <f>SUM(DT29:DT31)</f>
        <v/>
      </c>
      <c r="DU32" s="16">
        <f>SUM(DU29:DU31)</f>
        <v/>
      </c>
      <c r="DV32" s="16">
        <f>SUM(DV29:DV31)</f>
        <v/>
      </c>
      <c r="DW32" s="16">
        <f>SUM(DW29:DW31)</f>
        <v/>
      </c>
      <c r="DX32" s="16">
        <f>SUM(DX29:DX31)</f>
        <v/>
      </c>
      <c r="DY32" s="16">
        <f>SUM(DY29:DY31)</f>
        <v/>
      </c>
      <c r="DZ32" s="16">
        <f>SUM(DZ29:DZ31)</f>
        <v/>
      </c>
      <c r="EA32" s="16">
        <f>SUM(EA29:EA31)</f>
        <v/>
      </c>
      <c r="EB32" s="16">
        <f>SUM(EB29:EB31)</f>
        <v/>
      </c>
      <c r="EC32" s="16">
        <f>SUM(EC29:EC31)</f>
        <v/>
      </c>
      <c r="ED32" s="16">
        <f>SUM(ED29:ED31)</f>
        <v/>
      </c>
      <c r="EE32" s="16">
        <f>SUM(EE29:EE31)</f>
        <v/>
      </c>
      <c r="EF32" s="16">
        <f>SUM(EF29:EF31)</f>
        <v/>
      </c>
      <c r="EG32" s="16">
        <f>SUM(EG29:EG31)</f>
        <v/>
      </c>
      <c r="EH32" s="16">
        <f>SUM(EH29:EH31)</f>
        <v/>
      </c>
      <c r="EI32" s="16">
        <f>SUM(EI29:EI31)</f>
        <v/>
      </c>
      <c r="EJ32" s="16">
        <f>SUM(EJ29:EJ31)</f>
        <v/>
      </c>
      <c r="EK32" s="16">
        <f>SUM(EK29:EK31)</f>
        <v/>
      </c>
      <c r="EL32" s="16">
        <f>SUM(EL29:EL31)</f>
        <v/>
      </c>
      <c r="EM32" s="16">
        <f>SUM(EM29:EM31)</f>
        <v/>
      </c>
      <c r="EN32" s="16">
        <f>SUM(EN29:EN31)</f>
        <v/>
      </c>
      <c r="EO32" s="16">
        <f>SUM(EO29:EO31)</f>
        <v/>
      </c>
      <c r="EP32" s="16">
        <f>SUM(EP29:EP31)</f>
        <v/>
      </c>
      <c r="EQ32" s="16">
        <f>SUM(EQ29:EQ31)</f>
        <v/>
      </c>
      <c r="ER32" s="16">
        <f>SUM(ER29:ER31)</f>
        <v/>
      </c>
      <c r="ES32" s="16">
        <f>SUM(ES29:ES31)</f>
        <v/>
      </c>
      <c r="ET32" s="16">
        <f>SUM(ET29:ET31)</f>
        <v/>
      </c>
      <c r="EU32" s="16">
        <f>SUM(EU29:EU31)</f>
        <v/>
      </c>
      <c r="EV32" s="16">
        <f>SUM(EV29:EV31)</f>
        <v/>
      </c>
      <c r="EW32" s="16">
        <f>SUM(EW29:EW31)</f>
        <v/>
      </c>
      <c r="EX32" s="16">
        <f>SUM(EX29:EX31)</f>
        <v/>
      </c>
      <c r="EY32" s="16">
        <f>SUM(EY29:EY31)</f>
        <v/>
      </c>
      <c r="EZ32" s="16">
        <f>SUM(EZ29:EZ31)</f>
        <v/>
      </c>
      <c r="FA32" s="16">
        <f>SUM(FA29:FA31)</f>
        <v/>
      </c>
      <c r="FB32" s="16">
        <f>SUM(FB29:FB31)</f>
        <v/>
      </c>
      <c r="FC32" s="16">
        <f>SUM(FC29:FC31)</f>
        <v/>
      </c>
      <c r="FD32" s="16">
        <f>SUM(FD29:FD31)</f>
        <v/>
      </c>
      <c r="FE32" s="16">
        <f>SUM(FE29:FE31)</f>
        <v/>
      </c>
      <c r="FF32" s="16">
        <f>SUM(FF29:FF31)</f>
        <v/>
      </c>
      <c r="FG32" s="16">
        <f>SUM(FG29:FG31)</f>
        <v/>
      </c>
      <c r="FH32" s="16">
        <f>SUM(FH29:FH31)</f>
        <v/>
      </c>
      <c r="FI32" s="16">
        <f>SUM(FI29:FI31)</f>
        <v/>
      </c>
      <c r="FJ32" s="16">
        <f>SUM(FJ29:FJ31)</f>
        <v/>
      </c>
      <c r="FK32" s="16">
        <f>SUM(FK29:FK31)</f>
        <v/>
      </c>
      <c r="FL32" s="16">
        <f>SUM(FL29:FL31)</f>
        <v/>
      </c>
      <c r="FM32" s="16">
        <f>SUM(FM29:FM31)</f>
        <v/>
      </c>
      <c r="FN32" s="16">
        <f>SUM(FN29:FN31)</f>
        <v/>
      </c>
      <c r="FO32" s="16">
        <f>SUM(FO29:FO31)</f>
        <v/>
      </c>
      <c r="FP32" s="16">
        <f>SUM(FP29:FP31)</f>
        <v/>
      </c>
      <c r="FQ32" s="16">
        <f>SUM(FQ29:FQ31)</f>
        <v/>
      </c>
      <c r="FR32" s="16">
        <f>SUM(FR29:FR31)</f>
        <v/>
      </c>
      <c r="FS32" s="16">
        <f>SUM(FS29:FS31)</f>
        <v/>
      </c>
      <c r="FT32" s="16">
        <f>SUM(FT29:FT31)</f>
        <v/>
      </c>
      <c r="FU32" s="16">
        <f>SUM(FU29:FU31)</f>
        <v/>
      </c>
      <c r="FV32" s="16">
        <f>SUM(FV29:FV31)</f>
        <v/>
      </c>
      <c r="FW32" s="16">
        <f>SUM(FW29:FW31)</f>
        <v/>
      </c>
      <c r="FX32" s="16">
        <f>SUM(FX29:FX31)</f>
        <v/>
      </c>
      <c r="FY32" s="16">
        <f>SUM(FY29:FY31)</f>
        <v/>
      </c>
      <c r="FZ32" s="16">
        <f>SUM(FZ29:FZ31)</f>
        <v/>
      </c>
      <c r="GA32" s="16">
        <f>SUM(GA29:GA31)</f>
        <v/>
      </c>
      <c r="GB32" s="16">
        <f>SUM(GB29:GB31)</f>
        <v/>
      </c>
      <c r="GC32" s="16">
        <f>SUM(GC29:GC31)</f>
        <v/>
      </c>
      <c r="GD32" s="16">
        <f>SUM(GD29:GD31)</f>
        <v/>
      </c>
      <c r="GE32" s="16">
        <f>SUM(GE29:GE31)</f>
        <v/>
      </c>
      <c r="GF32" s="16">
        <f>SUM(GF29:GF31)</f>
        <v/>
      </c>
      <c r="GG32" s="16">
        <f>SUM(GG29:GG31)</f>
        <v/>
      </c>
      <c r="GH32" s="16">
        <f>SUM(GH29:GH31)</f>
        <v/>
      </c>
      <c r="GI32" s="16">
        <f>SUM(GI29:GI31)</f>
        <v/>
      </c>
      <c r="GJ32" s="16">
        <f>SUM(GJ29:GJ31)</f>
        <v/>
      </c>
      <c r="GK32" s="16">
        <f>SUM(GK29:GK31)</f>
        <v/>
      </c>
      <c r="GL32" s="16">
        <f>SUM(GL29:GL31)</f>
        <v/>
      </c>
      <c r="GM32" s="16">
        <f>SUM(GM29:GM31)</f>
        <v/>
      </c>
      <c r="GN32" s="16">
        <f>SUM(GN29:GN31)</f>
        <v/>
      </c>
      <c r="GO32" s="16">
        <f>SUM(GO29:GO31)</f>
        <v/>
      </c>
      <c r="GP32" s="16">
        <f>SUM(GP29:GP31)</f>
        <v/>
      </c>
      <c r="GQ32" s="16">
        <f>SUM(GQ29:GQ31)</f>
        <v/>
      </c>
      <c r="GR32" s="16">
        <f>SUM(GR29:GR31)</f>
        <v/>
      </c>
      <c r="GS32" s="16">
        <f>SUM(GS29:GS31)</f>
        <v/>
      </c>
      <c r="GT32" s="16">
        <f>SUM(GT29:GT31)</f>
        <v/>
      </c>
      <c r="GU32" s="16">
        <f>SUM(GU29:GU31)</f>
        <v/>
      </c>
      <c r="GV32" s="16">
        <f>SUM(GV29:GV31)</f>
        <v/>
      </c>
      <c r="GW32" s="16">
        <f>SUM(GW29:GW31)</f>
        <v/>
      </c>
      <c r="GX32" s="16">
        <f>SUM(GX29:GX31)</f>
        <v/>
      </c>
      <c r="GY32" s="16">
        <f>SUM(GY29:GY31)</f>
        <v/>
      </c>
      <c r="GZ32" s="16">
        <f>SUM(GZ29:GZ31)</f>
        <v/>
      </c>
      <c r="HA32" s="16">
        <f>SUM(HA29:HA31)</f>
        <v/>
      </c>
      <c r="HB32" s="16">
        <f>SUM(HB29:HB31)</f>
        <v/>
      </c>
      <c r="HC32" s="16">
        <f>SUM(HC29:HC31)</f>
        <v/>
      </c>
      <c r="HD32" s="16">
        <f>SUM(HD29:HD31)</f>
        <v/>
      </c>
      <c r="HE32" s="16">
        <f>SUM(HE29:HE31)</f>
        <v/>
      </c>
      <c r="HF32" s="16">
        <f>SUM(HF29:HF31)</f>
        <v/>
      </c>
      <c r="HG32" s="16">
        <f>SUM(HG29:HG31)</f>
        <v/>
      </c>
      <c r="HH32" s="16">
        <f>SUM(HH29:HH31)</f>
        <v/>
      </c>
      <c r="HI32" s="16">
        <f>SUM(HI29:HI31)</f>
        <v/>
      </c>
      <c r="HJ32" s="16">
        <f>SUM(HJ29:HJ31)</f>
        <v/>
      </c>
      <c r="HK32" s="16">
        <f>SUM(HK29:HK31)</f>
        <v/>
      </c>
      <c r="HL32" s="16">
        <f>SUM(HL29:HL31)</f>
        <v/>
      </c>
      <c r="HM32" s="16">
        <f>SUM(HM29:HM31)</f>
        <v/>
      </c>
      <c r="HN32" s="16">
        <f>SUM(HN29:HN31)</f>
        <v/>
      </c>
      <c r="HO32" s="16">
        <f>SUM(HO29:HO31)</f>
        <v/>
      </c>
      <c r="HP32" s="16">
        <f>SUM(HP29:HP31)</f>
        <v/>
      </c>
      <c r="HQ32" s="16">
        <f>SUM(HQ29:HQ31)</f>
        <v/>
      </c>
      <c r="HR32" s="16">
        <f>SUM(HR29:HR31)</f>
        <v/>
      </c>
      <c r="HS32" s="16">
        <f>SUM(HS29:HS31)</f>
        <v/>
      </c>
      <c r="HT32" s="16">
        <f>SUM(HT29:HT31)</f>
        <v/>
      </c>
      <c r="HU32" s="16">
        <f>SUM(HU29:HU31)</f>
        <v/>
      </c>
      <c r="HV32" s="16">
        <f>SUM(HV29:HV31)</f>
        <v/>
      </c>
      <c r="HW32" s="16">
        <f>SUM(HW29:HW31)</f>
        <v/>
      </c>
      <c r="HX32" s="16">
        <f>SUM(HX29:HX31)</f>
        <v/>
      </c>
      <c r="HY32" s="16">
        <f>SUM(HY29:HY31)</f>
        <v/>
      </c>
      <c r="HZ32" s="16">
        <f>SUM(HZ29:HZ31)</f>
        <v/>
      </c>
      <c r="IA32" s="16">
        <f>SUM(IA29:IA31)</f>
        <v/>
      </c>
      <c r="IB32" s="16">
        <f>SUM(IB29:IB31)</f>
        <v/>
      </c>
      <c r="IC32" s="16">
        <f>SUM(IC29:IC31)</f>
        <v/>
      </c>
      <c r="ID32" s="16">
        <f>SUM(ID29:ID31)</f>
        <v/>
      </c>
      <c r="IE32" s="16">
        <f>SUM(IE29:IE31)</f>
        <v/>
      </c>
      <c r="IF32" s="16">
        <f>SUM(IF29:IF31)</f>
        <v/>
      </c>
      <c r="IG32" s="16">
        <f>SUM(IG29:IG31)</f>
        <v/>
      </c>
      <c r="IH32" s="16">
        <f>SUM(IH29:IH31)</f>
        <v/>
      </c>
      <c r="II32" s="16">
        <f>SUM(II29:II31)</f>
        <v/>
      </c>
      <c r="IJ32" s="16">
        <f>SUM(IJ29:IJ31)</f>
        <v/>
      </c>
      <c r="IK32" s="16">
        <f>SUM(IK29:IK31)</f>
        <v/>
      </c>
      <c r="IL32" s="16">
        <f>SUM(IL29:IL31)</f>
        <v/>
      </c>
      <c r="IM32" s="16">
        <f>SUM(IM29:IM31)</f>
        <v/>
      </c>
      <c r="IN32" s="16">
        <f>SUM(IN29:IN31)</f>
        <v/>
      </c>
      <c r="IO32" s="16">
        <f>SUM(IO29:IO31)</f>
        <v/>
      </c>
      <c r="IP32" s="16">
        <f>SUM(IP29:IP31)</f>
        <v/>
      </c>
      <c r="IQ32" s="16">
        <f>SUM(IQ29:IQ31)</f>
        <v/>
      </c>
      <c r="IR32" s="16">
        <f>SUM(IR29:IR31)</f>
        <v/>
      </c>
      <c r="IS32" s="16">
        <f>SUM(IS29:IS31)</f>
        <v/>
      </c>
      <c r="IT32" s="16">
        <f>SUM(IT29:IT31)</f>
        <v/>
      </c>
      <c r="IU32" s="16">
        <f>SUM(IU29:IU31)</f>
        <v/>
      </c>
      <c r="IV32" s="16">
        <f>SUM(IV29:IV31)</f>
        <v/>
      </c>
      <c r="IW32" s="16">
        <f>SUM(IW29:IW31)</f>
        <v/>
      </c>
    </row>
    <row r="33" ht="20.15" customHeight="1">
      <c r="A33" s="17" t="inlineStr">
        <is>
          <t>偿还债务支付的现金</t>
        </is>
      </c>
      <c r="B33" s="15" t="n">
        <v>27</v>
      </c>
      <c r="C33" s="74" t="n">
        <v>0</v>
      </c>
      <c r="D33" s="74" t="n">
        <v>0</v>
      </c>
      <c r="E33" s="74" t="n">
        <v>0</v>
      </c>
      <c r="F33" s="74" t="n">
        <v>0</v>
      </c>
    </row>
    <row r="34" ht="20.15" customHeight="1">
      <c r="A34" s="17" t="inlineStr">
        <is>
          <t>分配股利、利润或偿付利息支付的现金</t>
        </is>
      </c>
      <c r="B34" s="15" t="n">
        <v>28</v>
      </c>
      <c r="C34" s="74" t="n">
        <v>0</v>
      </c>
      <c r="D34" s="74" t="n">
        <v>0</v>
      </c>
      <c r="E34" s="74" t="n">
        <v>0</v>
      </c>
      <c r="F34" s="74" t="n">
        <v>0</v>
      </c>
    </row>
    <row r="35" ht="20.15" customHeight="1">
      <c r="A35" s="17" t="inlineStr">
        <is>
          <t>支付其他与筹资活动有关的现金</t>
        </is>
      </c>
      <c r="B35" s="15" t="n">
        <v>29</v>
      </c>
      <c r="C35" s="74" t="n">
        <v>0</v>
      </c>
      <c r="D35" s="74" t="n">
        <v>0</v>
      </c>
      <c r="E35" s="74" t="n">
        <v>0</v>
      </c>
      <c r="F35" s="74" t="n">
        <v>0</v>
      </c>
    </row>
    <row r="36" ht="20.15" customHeight="1">
      <c r="A36" s="18" t="inlineStr">
        <is>
          <t>筹资活动现金流出小计</t>
        </is>
      </c>
      <c r="B36" s="15" t="n">
        <v>30</v>
      </c>
      <c r="C36" s="75">
        <f>SUM(C33:C35)</f>
        <v/>
      </c>
      <c r="D36" s="75">
        <f>SUM(D33:D35)</f>
        <v/>
      </c>
      <c r="E36" s="75">
        <f>SUM(E33:E35)</f>
        <v/>
      </c>
      <c r="F36" s="75">
        <f>SUM(F33:F35)</f>
        <v/>
      </c>
    </row>
    <row r="37" ht="20.15" customHeight="1">
      <c r="A37" s="22" t="inlineStr">
        <is>
          <t>筹资活动产生的现金流量净额</t>
        </is>
      </c>
      <c r="B37" s="15" t="n">
        <v>31</v>
      </c>
      <c r="C37" s="75">
        <f>C32-C36</f>
        <v/>
      </c>
      <c r="D37" s="75">
        <f>D32-D36</f>
        <v/>
      </c>
      <c r="E37" s="75">
        <f>E32-E36</f>
        <v/>
      </c>
      <c r="F37" s="75">
        <f>F32-F36</f>
        <v/>
      </c>
    </row>
    <row r="38" ht="20.15" customHeight="1">
      <c r="A38" s="14" t="inlineStr">
        <is>
          <t>四、汇率变动对现金及现金等价物的影响</t>
        </is>
      </c>
      <c r="B38" s="15" t="n">
        <v>32</v>
      </c>
      <c r="C38" s="74" t="n">
        <v>0</v>
      </c>
      <c r="D38" s="74" t="n">
        <v>0</v>
      </c>
      <c r="E38" s="74" t="n">
        <v>0</v>
      </c>
      <c r="F38" s="74" t="n">
        <v>0</v>
      </c>
    </row>
    <row r="39" ht="20.15" customHeight="1">
      <c r="A39" s="14" t="inlineStr">
        <is>
          <t>五、现金及现金等价物净增加额</t>
        </is>
      </c>
      <c r="B39" s="15" t="n">
        <v>33</v>
      </c>
      <c r="C39" s="75">
        <f>C14+C27+C37+C38</f>
        <v/>
      </c>
      <c r="D39" s="75">
        <f>D14+D27+D37+D38</f>
        <v/>
      </c>
      <c r="E39" s="75">
        <f>E14+E27+E37+E38</f>
        <v/>
      </c>
      <c r="F39" s="75">
        <f>F14+F27+F37+F38</f>
        <v/>
      </c>
    </row>
    <row r="40" ht="20.15" customHeight="1">
      <c r="A40" s="20" t="inlineStr">
        <is>
          <t>加：期初现金及现金等价物余额</t>
        </is>
      </c>
      <c r="B40" s="15" t="n">
        <v>34</v>
      </c>
      <c r="C40" s="75">
        <f>D41</f>
        <v/>
      </c>
      <c r="D40" s="75">
        <f>E41</f>
        <v/>
      </c>
      <c r="E40" s="75">
        <f>F41</f>
        <v/>
      </c>
      <c r="F40" s="80" t="n">
        <v>0</v>
      </c>
    </row>
    <row r="41" ht="20.15" customHeight="1">
      <c r="A41" s="14" t="inlineStr">
        <is>
          <t>六、期末现金及现金等价物余额</t>
        </is>
      </c>
      <c r="B41" s="15" t="n">
        <v>35</v>
      </c>
      <c r="C41" s="75">
        <f>C39+C40</f>
        <v/>
      </c>
      <c r="D41" s="75">
        <f>D39+D40</f>
        <v/>
      </c>
      <c r="E41" s="75">
        <f>E39+E40</f>
        <v/>
      </c>
      <c r="F41" s="75">
        <f>F39+F40</f>
        <v/>
      </c>
    </row>
  </sheetData>
  <mergeCells count="2">
    <mergeCell ref="A2:E2"/>
    <mergeCell ref="A1:F1"/>
  </mergeCells>
  <dataValidations count="1">
    <dataValidation sqref="C5:F7 C9:F12 C16:F20 C22:F25 C29:F31 C33:F35 C38:F38 C40" showDropDown="0" showInputMessage="1" showErrorMessage="1" allowBlank="0" errorTitle="数据格式错误" error="请输入正确的数字格式，无数值应保持初始值0" type="custom">
      <formula1>ISNUMBER(C5)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南京青春信息科技有限公司</dc:creator>
  <dcterms:created xmlns:dcterms="http://purl.org/dc/terms/" xmlns:xsi="http://www.w3.org/2001/XMLSchema-instance" xsi:type="dcterms:W3CDTF">2021-07-14T08:49:42Z</dcterms:created>
  <dcterms:modified xmlns:dcterms="http://purl.org/dc/terms/" xmlns:xsi="http://www.w3.org/2001/XMLSchema-instance" xsi:type="dcterms:W3CDTF">2026-08-18T17:50:06Z</dcterms:modified>
  <cp:lastModifiedBy>子健 张</cp:lastModifiedBy>
</cp:coreProperties>
</file>